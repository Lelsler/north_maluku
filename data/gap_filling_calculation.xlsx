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xmlns:r="http://schemas.openxmlformats.org/officeDocument/2006/relationships" name="Gap Filling Calculation" sheetId="1" state="visible" r:id="rId1"/>
    <sheet xmlns:r="http://schemas.openxmlformats.org/officeDocument/2006/relationships" name="READ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0"/>
    </font>
    <font>
      <name val="Calibri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2" fillId="3" borderId="0" pivotButton="0" quotePrefix="0" xfId="0"/>
    <xf numFmtId="2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"/>
  <sheetViews>
    <sheetView tabSelected="1" workbookViewId="0">
      <pane xSplit="5" ySplit="1" topLeftCell="V3" activePane="bottomRight" state="frozen"/>
      <selection pane="topRight" activeCell="A1" sqref="A1"/>
      <selection pane="bottomLeft" activeCell="A1" sqref="A1"/>
      <selection pane="bottomRight" activeCell="AF51" sqref="AF51"/>
    </sheetView>
  </sheetViews>
  <sheetFormatPr baseColWidth="10" defaultColWidth="8.83203125" defaultRowHeight="15"/>
  <cols>
    <col width="7" customWidth="1" min="1" max="1"/>
    <col width="30" customWidth="1" min="2" max="2"/>
    <col width="12" customWidth="1" min="3" max="3"/>
    <col width="10" customWidth="1" min="4" max="4"/>
    <col width="44" customWidth="1" min="5" max="5"/>
    <col width="9" customWidth="1" min="6" max="6"/>
    <col width="10" customWidth="1" min="7" max="7"/>
    <col width="11" customWidth="1" min="8" max="8"/>
    <col width="50" customWidth="1" min="9" max="9"/>
    <col width="60" customWidth="1" min="10" max="10"/>
    <col width="13" customWidth="1" min="32" max="33"/>
  </cols>
  <sheetData>
    <row r="1">
      <c r="A1" s="1" t="inlineStr">
        <is>
          <t>kode_susenas</t>
        </is>
      </c>
      <c r="B1" s="1" t="inlineStr">
        <is>
          <t>label_susenas</t>
        </is>
      </c>
      <c r="C1" s="1" t="inlineStr">
        <is>
          <t>fct_source_now</t>
        </is>
      </c>
      <c r="D1" s="1" t="inlineStr">
        <is>
          <t>row_type</t>
        </is>
      </c>
      <c r="E1" s="1" t="inlineStr">
        <is>
          <t>ingredient</t>
        </is>
      </c>
      <c r="F1" s="1" t="inlineStr">
        <is>
          <t>proportion_pct</t>
        </is>
      </c>
      <c r="G1" s="1" t="inlineStr">
        <is>
          <t>source</t>
        </is>
      </c>
      <c r="H1" s="1" t="inlineStr">
        <is>
          <t>source_code</t>
        </is>
      </c>
      <c r="I1" s="1" t="inlineStr">
        <is>
          <t>note</t>
        </is>
      </c>
      <c r="J1" s="1" t="inlineStr">
        <is>
          <t>source_link</t>
        </is>
      </c>
      <c r="K1" s="1" t="inlineStr">
        <is>
          <t>water</t>
        </is>
      </c>
      <c r="L1" s="1" t="inlineStr">
        <is>
          <t>energy</t>
        </is>
      </c>
      <c r="M1" s="1" t="inlineStr">
        <is>
          <t>protein</t>
        </is>
      </c>
      <c r="N1" s="1" t="inlineStr">
        <is>
          <t>fat</t>
        </is>
      </c>
      <c r="O1" s="1" t="inlineStr">
        <is>
          <t>carbohydrate</t>
        </is>
      </c>
      <c r="P1" s="1" t="inlineStr">
        <is>
          <t>fiber</t>
        </is>
      </c>
      <c r="Q1" s="1" t="inlineStr">
        <is>
          <t>ash</t>
        </is>
      </c>
      <c r="R1" s="1" t="inlineStr">
        <is>
          <t>calcium</t>
        </is>
      </c>
      <c r="S1" s="1" t="inlineStr">
        <is>
          <t>phosphorus</t>
        </is>
      </c>
      <c r="T1" s="1" t="inlineStr">
        <is>
          <t>iron</t>
        </is>
      </c>
      <c r="U1" s="1" t="inlineStr">
        <is>
          <t>sodium</t>
        </is>
      </c>
      <c r="V1" s="1" t="inlineStr">
        <is>
          <t>potassium</t>
        </is>
      </c>
      <c r="W1" s="1" t="inlineStr">
        <is>
          <t>copper</t>
        </is>
      </c>
      <c r="X1" s="1" t="inlineStr">
        <is>
          <t>zinc</t>
        </is>
      </c>
      <c r="Y1" s="1" t="inlineStr">
        <is>
          <t>retinol</t>
        </is>
      </c>
      <c r="Z1" s="1" t="inlineStr">
        <is>
          <t>beta_carotene</t>
        </is>
      </c>
      <c r="AA1" s="1" t="inlineStr">
        <is>
          <t>total_carotene</t>
        </is>
      </c>
      <c r="AB1" s="1" t="inlineStr">
        <is>
          <t>thiamin</t>
        </is>
      </c>
      <c r="AC1" s="1" t="inlineStr">
        <is>
          <t>riboflavin</t>
        </is>
      </c>
      <c r="AD1" s="1" t="inlineStr">
        <is>
          <t>niacin</t>
        </is>
      </c>
      <c r="AE1" s="1" t="inlineStr">
        <is>
          <t>vitamin_c</t>
        </is>
      </c>
      <c r="AF1" s="1" t="inlineStr">
        <is>
          <t>bdd</t>
        </is>
      </c>
      <c r="AG1" s="1" t="inlineStr">
        <is>
          <t>dha_epa</t>
        </is>
      </c>
    </row>
    <row r="2">
      <c r="A2" t="inlineStr">
        <is>
          <t>130</t>
        </is>
      </c>
      <c r="B2" t="inlineStr">
        <is>
          <t>Kopi (bubuk, biji)</t>
        </is>
      </c>
      <c r="C2" t="inlineStr">
        <is>
          <t>no_match</t>
        </is>
      </c>
      <c r="D2" t="inlineStr">
        <is>
          <t>ingredient</t>
        </is>
      </c>
      <c r="E2" t="inlineStr">
        <is>
          <t>Pure Brazilian ground coffee (Cafe Najjar)</t>
        </is>
      </c>
      <c r="F2" s="2" t="n">
        <v>100</v>
      </c>
      <c r="G2" t="inlineStr">
        <is>
          <t>USDA</t>
        </is>
      </c>
      <c r="H2" t="inlineStr">
        <is>
          <t>2088673</t>
        </is>
      </c>
      <c r="I2" t="inlineStr">
        <is>
          <t>dry roasted grounds, matching the dry form recorded in SUSENAS; no FCD carries plain roasted-ground arabica or robusta, and Brazil grows both species like Indonesia. Label is per 5 g of powder (scaled x20, so rounding is coarse); potassium, phosphorus and vitamins are not declared and stay blank</t>
        </is>
      </c>
      <c r="J2" t="inlineStr">
        <is>
          <t>https://fdc.nal.usda.gov/food-details/2088673/nutrients</t>
        </is>
      </c>
      <c r="K2" s="2" t="n"/>
      <c r="L2" s="2" t="n">
        <v>500</v>
      </c>
      <c r="M2" s="2" t="n">
        <v>20</v>
      </c>
      <c r="N2" s="2" t="n">
        <v>20</v>
      </c>
      <c r="O2" s="2" t="n">
        <v>60</v>
      </c>
      <c r="P2" s="2" t="n">
        <v>40</v>
      </c>
      <c r="Q2" s="2" t="n"/>
      <c r="R2" s="2" t="n">
        <v>200</v>
      </c>
      <c r="S2" s="2" t="n"/>
      <c r="T2" s="2" t="n">
        <v>7.2</v>
      </c>
      <c r="U2" s="2" t="n">
        <v>100</v>
      </c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>
        <v>100</v>
      </c>
      <c r="AG2" s="2" t="n"/>
    </row>
    <row r="3">
      <c r="A3" s="3" t="inlineStr">
        <is>
          <t>130</t>
        </is>
      </c>
      <c r="B3" s="3" t="inlineStr">
        <is>
          <t>Kopi (bubuk, biji)</t>
        </is>
      </c>
      <c r="C3" s="3" t="inlineStr">
        <is>
          <t>no_match</t>
        </is>
      </c>
      <c r="D3" s="3" t="inlineStr">
        <is>
          <t>average</t>
        </is>
      </c>
      <c r="E3" s="3" t="inlineStr">
        <is>
          <t>Kopi (bubuk, biji), per 100 g</t>
        </is>
      </c>
      <c r="F3" s="4">
        <f>SUM(F2:F2)</f>
        <v/>
      </c>
      <c r="G3" s="3" t="inlineStr">
        <is>
          <t>calculated</t>
        </is>
      </c>
      <c r="H3" s="3" t="inlineStr">
        <is>
          <t>-</t>
        </is>
      </c>
      <c r="I3" s="3" t="inlineStr">
        <is>
          <t>weighted average; ingredients missing a nutrient count as zero (values are minimums where a source is incomplete); blank = no ingredient reports it</t>
        </is>
      </c>
      <c r="J3" s="3" t="inlineStr">
        <is>
          <t>-</t>
        </is>
      </c>
      <c r="K3" s="4">
        <f>IF(COUNT(K2:K2)=0,"",SUMPRODUCT($F2:$F2/100,K2:K2))</f>
        <v/>
      </c>
      <c r="L3" s="4">
        <f>IF(COUNT(L2:L2)=0,"",SUMPRODUCT($F2:$F2/100,L2:L2))</f>
        <v/>
      </c>
      <c r="M3" s="4">
        <f>IF(COUNT(M2:M2)=0,"",SUMPRODUCT($F2:$F2/100,M2:M2))</f>
        <v/>
      </c>
      <c r="N3" s="4">
        <f>IF(COUNT(N2:N2)=0,"",SUMPRODUCT($F2:$F2/100,N2:N2))</f>
        <v/>
      </c>
      <c r="O3" s="4">
        <f>IF(COUNT(O2:O2)=0,"",SUMPRODUCT($F2:$F2/100,O2:O2))</f>
        <v/>
      </c>
      <c r="P3" s="4">
        <f>IF(COUNT(P2:P2)=0,"",SUMPRODUCT($F2:$F2/100,P2:P2))</f>
        <v/>
      </c>
      <c r="Q3" s="4">
        <f>IF(COUNT(Q2:Q2)=0,"",SUMPRODUCT($F2:$F2/100,Q2:Q2))</f>
        <v/>
      </c>
      <c r="R3" s="4">
        <f>IF(COUNT(R2:R2)=0,"",SUMPRODUCT($F2:$F2/100,R2:R2))</f>
        <v/>
      </c>
      <c r="S3" s="4">
        <f>IF(COUNT(S2:S2)=0,"",SUMPRODUCT($F2:$F2/100,S2:S2))</f>
        <v/>
      </c>
      <c r="T3" s="4">
        <f>IF(COUNT(T2:T2)=0,"",SUMPRODUCT($F2:$F2/100,T2:T2))</f>
        <v/>
      </c>
      <c r="U3" s="4">
        <f>IF(COUNT(U2:U2)=0,"",SUMPRODUCT($F2:$F2/100,U2:U2))</f>
        <v/>
      </c>
      <c r="V3" s="4">
        <f>IF(COUNT(V2:V2)=0,"",SUMPRODUCT($F2:$F2/100,V2:V2))</f>
        <v/>
      </c>
      <c r="W3" s="4">
        <f>IF(COUNT(W2:W2)=0,"",SUMPRODUCT($F2:$F2/100,W2:W2))</f>
        <v/>
      </c>
      <c r="X3" s="4">
        <f>IF(COUNT(X2:X2)=0,"",SUMPRODUCT($F2:$F2/100,X2:X2))</f>
        <v/>
      </c>
      <c r="Y3" s="4">
        <f>IF(COUNT(Y2:Y2)=0,"",SUMPRODUCT($F2:$F2/100,Y2:Y2))</f>
        <v/>
      </c>
      <c r="Z3" s="4">
        <f>IF(COUNT(Z2:Z2)=0,"",SUMPRODUCT($F2:$F2/100,Z2:Z2))</f>
        <v/>
      </c>
      <c r="AA3" s="4">
        <f>IF(COUNT(AA2:AA2)=0,"",SUMPRODUCT($F2:$F2/100,AA2:AA2))</f>
        <v/>
      </c>
      <c r="AB3" s="4">
        <f>IF(COUNT(AB2:AB2)=0,"",SUMPRODUCT($F2:$F2/100,AB2:AB2))</f>
        <v/>
      </c>
      <c r="AC3" s="4">
        <f>IF(COUNT(AC2:AC2)=0,"",SUMPRODUCT($F2:$F2/100,AC2:AC2))</f>
        <v/>
      </c>
      <c r="AD3" s="4">
        <f>IF(COUNT(AD2:AD2)=0,"",SUMPRODUCT($F2:$F2/100,AD2:AD2))</f>
        <v/>
      </c>
      <c r="AE3" s="4">
        <f>IF(COUNT(AE2:AE2)=0,"",SUMPRODUCT($F2:$F2/100,AE2:AE2))</f>
        <v/>
      </c>
      <c r="AF3" s="4">
        <f>IF(COUNT(AF2:AF2)=0,"",SUMPRODUCT($F2:$F2/100,AF2:AF2))</f>
        <v/>
      </c>
      <c r="AG3" s="4" t="n">
        <v>1</v>
      </c>
    </row>
    <row r="4">
      <c r="A4" t="inlineStr">
        <is>
          <t>134</t>
        </is>
      </c>
      <c r="B4" t="inlineStr">
        <is>
          <t>Garam</t>
        </is>
      </c>
      <c r="C4" t="inlineStr">
        <is>
          <t>no_match</t>
        </is>
      </c>
      <c r="D4" t="inlineStr">
        <is>
          <t>ingredient</t>
        </is>
      </c>
      <c r="E4" t="inlineStr">
        <is>
          <t>Salt, table, iodized</t>
        </is>
      </c>
      <c r="F4" s="2" t="n">
        <v>100</v>
      </c>
      <c r="G4" t="inlineStr">
        <is>
          <t>USDA</t>
        </is>
      </c>
      <c r="H4" t="inlineStr">
        <is>
          <t>746775</t>
        </is>
      </c>
      <c r="I4" t="inlineStr">
        <is>
          <t>proxy for Garam Cap Kapal; iodine 5,080 mcg/100 g = 50.8 ppm, inside the SNI 30-80 ppm KIO3 range; organics zero by composition</t>
        </is>
      </c>
      <c r="J4" t="inlineStr">
        <is>
          <t>https://fdc.nal.usda.gov/food-details/746775/nutrients</t>
        </is>
      </c>
      <c r="K4" s="2" t="n">
        <v>0.42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99</v>
      </c>
      <c r="R4" s="2" t="n">
        <v>50</v>
      </c>
      <c r="S4" s="2" t="n">
        <v>0</v>
      </c>
      <c r="T4" s="2" t="n">
        <v>0</v>
      </c>
      <c r="U4" s="2" t="n">
        <v>38700</v>
      </c>
      <c r="V4" s="2" t="n">
        <v>2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100</v>
      </c>
      <c r="AG4" s="2" t="n"/>
    </row>
    <row r="5">
      <c r="A5" s="3" t="inlineStr">
        <is>
          <t>134</t>
        </is>
      </c>
      <c r="B5" s="3" t="inlineStr">
        <is>
          <t>Garam</t>
        </is>
      </c>
      <c r="C5" s="3" t="inlineStr">
        <is>
          <t>no_match</t>
        </is>
      </c>
      <c r="D5" s="3" t="inlineStr">
        <is>
          <t>average</t>
        </is>
      </c>
      <c r="E5" s="3" t="inlineStr">
        <is>
          <t>Garam, per 100 g</t>
        </is>
      </c>
      <c r="F5" s="4">
        <f>SUM(F4:F4)</f>
        <v/>
      </c>
      <c r="G5" s="3" t="inlineStr">
        <is>
          <t>calculated</t>
        </is>
      </c>
      <c r="H5" s="3" t="inlineStr">
        <is>
          <t>-</t>
        </is>
      </c>
      <c r="I5" s="3" t="inlineStr">
        <is>
          <t>weighted average; ingredients missing a nutrient count as zero (values are minimums where a source is incomplete); blank = no ingredient reports it</t>
        </is>
      </c>
      <c r="J5" s="3" t="inlineStr">
        <is>
          <t>-</t>
        </is>
      </c>
      <c r="K5" s="4">
        <f>IF(COUNT(K4:K4)=0,"",SUMPRODUCT($F4:$F4/100,K4:K4))</f>
        <v/>
      </c>
      <c r="L5" s="4">
        <f>IF(COUNT(L4:L4)=0,"",SUMPRODUCT($F4:$F4/100,L4:L4))</f>
        <v/>
      </c>
      <c r="M5" s="4">
        <f>IF(COUNT(M4:M4)=0,"",SUMPRODUCT($F4:$F4/100,M4:M4))</f>
        <v/>
      </c>
      <c r="N5" s="4">
        <f>IF(COUNT(N4:N4)=0,"",SUMPRODUCT($F4:$F4/100,N4:N4))</f>
        <v/>
      </c>
      <c r="O5" s="4">
        <f>IF(COUNT(O4:O4)=0,"",SUMPRODUCT($F4:$F4/100,O4:O4))</f>
        <v/>
      </c>
      <c r="P5" s="4">
        <f>IF(COUNT(P4:P4)=0,"",SUMPRODUCT($F4:$F4/100,P4:P4))</f>
        <v/>
      </c>
      <c r="Q5" s="4">
        <f>IF(COUNT(Q4:Q4)=0,"",SUMPRODUCT($F4:$F4/100,Q4:Q4))</f>
        <v/>
      </c>
      <c r="R5" s="4">
        <f>IF(COUNT(R4:R4)=0,"",SUMPRODUCT($F4:$F4/100,R4:R4))</f>
        <v/>
      </c>
      <c r="S5" s="4">
        <f>IF(COUNT(S4:S4)=0,"",SUMPRODUCT($F4:$F4/100,S4:S4))</f>
        <v/>
      </c>
      <c r="T5" s="4">
        <f>IF(COUNT(T4:T4)=0,"",SUMPRODUCT($F4:$F4/100,T4:T4))</f>
        <v/>
      </c>
      <c r="U5" s="4">
        <f>IF(COUNT(U4:U4)=0,"",SUMPRODUCT($F4:$F4/100,U4:U4))</f>
        <v/>
      </c>
      <c r="V5" s="4">
        <f>IF(COUNT(V4:V4)=0,"",SUMPRODUCT($F4:$F4/100,V4:V4))</f>
        <v/>
      </c>
      <c r="W5" s="4">
        <f>IF(COUNT(W4:W4)=0,"",SUMPRODUCT($F4:$F4/100,W4:W4))</f>
        <v/>
      </c>
      <c r="X5" s="4">
        <f>IF(COUNT(X4:X4)=0,"",SUMPRODUCT($F4:$F4/100,X4:X4))</f>
        <v/>
      </c>
      <c r="Y5" s="4">
        <f>IF(COUNT(Y4:Y4)=0,"",SUMPRODUCT($F4:$F4/100,Y4:Y4))</f>
        <v/>
      </c>
      <c r="Z5" s="4">
        <f>IF(COUNT(Z4:Z4)=0,"",SUMPRODUCT($F4:$F4/100,Z4:Z4))</f>
        <v/>
      </c>
      <c r="AA5" s="4">
        <f>IF(COUNT(AA4:AA4)=0,"",SUMPRODUCT($F4:$F4/100,AA4:AA4))</f>
        <v/>
      </c>
      <c r="AB5" s="4">
        <f>IF(COUNT(AB4:AB4)=0,"",SUMPRODUCT($F4:$F4/100,AB4:AB4))</f>
        <v/>
      </c>
      <c r="AC5" s="4">
        <f>IF(COUNT(AC4:AC4)=0,"",SUMPRODUCT($F4:$F4/100,AC4:AC4))</f>
        <v/>
      </c>
      <c r="AD5" s="4">
        <f>IF(COUNT(AD4:AD4)=0,"",SUMPRODUCT($F4:$F4/100,AD4:AD4))</f>
        <v/>
      </c>
      <c r="AE5" s="4">
        <f>IF(COUNT(AE4:AE4)=0,"",SUMPRODUCT($F4:$F4/100,AE4:AE4))</f>
        <v/>
      </c>
      <c r="AF5" s="4">
        <f>IF(COUNT(AF4:AF4)=0,"",SUMPRODUCT($F4:$F4/100,AF4:AF4))</f>
        <v/>
      </c>
      <c r="AG5" s="4" t="n">
        <v>1</v>
      </c>
    </row>
    <row r="6">
      <c r="A6" t="inlineStr">
        <is>
          <t>141</t>
        </is>
      </c>
      <c r="B6" t="inlineStr">
        <is>
          <t>Penyedap masakan/vetsin</t>
        </is>
      </c>
      <c r="C6" t="inlineStr">
        <is>
          <t>no_match</t>
        </is>
      </c>
      <c r="D6" t="inlineStr">
        <is>
          <t>ingredient</t>
        </is>
      </c>
      <c r="E6" t="inlineStr">
        <is>
          <t>MSG, monosodium glutamate (Smart &amp; Final)</t>
        </is>
      </c>
      <c r="F6" s="2" t="n">
        <v>50</v>
      </c>
      <c r="G6" t="inlineStr">
        <is>
          <t>USDA</t>
        </is>
      </c>
      <c r="H6" t="inlineStr">
        <is>
          <t>2449440</t>
        </is>
      </c>
      <c r="I6" t="inlineStr">
        <is>
          <t>label panel only; unreported micronutrients blank</t>
        </is>
      </c>
      <c r="J6" t="inlineStr">
        <is>
          <t>https://fdc.nal.usda.gov/food-details/2449440/nutrients</t>
        </is>
      </c>
      <c r="K6" s="2" t="n"/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/>
      <c r="R6" s="2" t="n"/>
      <c r="S6" s="2" t="n"/>
      <c r="T6" s="2" t="n"/>
      <c r="U6" s="2" t="n">
        <v>12500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>
        <v>100</v>
      </c>
      <c r="AG6" s="2" t="n"/>
    </row>
    <row r="7">
      <c r="A7" t="inlineStr">
        <is>
          <t>141</t>
        </is>
      </c>
      <c r="B7" t="inlineStr">
        <is>
          <t>Penyedap masakan/vetsin</t>
        </is>
      </c>
      <c r="C7" t="inlineStr">
        <is>
          <t>no_match</t>
        </is>
      </c>
      <c r="D7" t="inlineStr">
        <is>
          <t>ingredient</t>
        </is>
      </c>
      <c r="E7" t="inlineStr">
        <is>
          <t>MSG, umami seasoning (Ajinomoto USA)</t>
        </is>
      </c>
      <c r="F7" s="2" t="n">
        <v>50</v>
      </c>
      <c r="G7" t="inlineStr">
        <is>
          <t>USDA</t>
        </is>
      </c>
      <c r="H7" t="inlineStr">
        <is>
          <t>2032559</t>
        </is>
      </c>
      <c r="J7" t="inlineStr">
        <is>
          <t>https://fdc.nal.usda.gov/food-details/2032559/nutrients</t>
        </is>
      </c>
      <c r="K7" s="2" t="n"/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/>
      <c r="R7" s="2" t="n"/>
      <c r="S7" s="2" t="n"/>
      <c r="T7" s="2" t="n"/>
      <c r="U7" s="2" t="n">
        <v>12500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>
        <v>100</v>
      </c>
      <c r="AG7" s="2" t="n"/>
    </row>
    <row r="8">
      <c r="A8" s="3" t="inlineStr">
        <is>
          <t>141</t>
        </is>
      </c>
      <c r="B8" s="3" t="inlineStr">
        <is>
          <t>Penyedap masakan/vetsin</t>
        </is>
      </c>
      <c r="C8" s="3" t="inlineStr">
        <is>
          <t>no_match</t>
        </is>
      </c>
      <c r="D8" s="3" t="inlineStr">
        <is>
          <t>average</t>
        </is>
      </c>
      <c r="E8" s="3" t="inlineStr">
        <is>
          <t>Penyedap masakan/vetsin, per 100 g</t>
        </is>
      </c>
      <c r="F8" s="4">
        <f>SUM(F6:F7)</f>
        <v/>
      </c>
      <c r="G8" s="3" t="inlineStr">
        <is>
          <t>calculated</t>
        </is>
      </c>
      <c r="H8" s="3" t="inlineStr">
        <is>
          <t>-</t>
        </is>
      </c>
      <c r="I8" s="3" t="inlineStr">
        <is>
          <t>weighted average; ingredients missing a nutrient count as zero (values are minimums where a source is incomplete); blank = no ingredient reports it</t>
        </is>
      </c>
      <c r="J8" s="3" t="inlineStr">
        <is>
          <t>-</t>
        </is>
      </c>
      <c r="K8" s="4">
        <f>IF(COUNT(K6:K7)=0,"",SUMPRODUCT($F6:$F7/100,K6:K7))</f>
        <v/>
      </c>
      <c r="L8" s="4">
        <f>IF(COUNT(L6:L7)=0,"",SUMPRODUCT($F6:$F7/100,L6:L7))</f>
        <v/>
      </c>
      <c r="M8" s="4">
        <f>IF(COUNT(M6:M7)=0,"",SUMPRODUCT($F6:$F7/100,M6:M7))</f>
        <v/>
      </c>
      <c r="N8" s="4">
        <f>IF(COUNT(N6:N7)=0,"",SUMPRODUCT($F6:$F7/100,N6:N7))</f>
        <v/>
      </c>
      <c r="O8" s="4">
        <f>IF(COUNT(O6:O7)=0,"",SUMPRODUCT($F6:$F7/100,O6:O7))</f>
        <v/>
      </c>
      <c r="P8" s="4">
        <f>IF(COUNT(P6:P7)=0,"",SUMPRODUCT($F6:$F7/100,P6:P7))</f>
        <v/>
      </c>
      <c r="Q8" s="4">
        <f>IF(COUNT(Q6:Q7)=0,"",SUMPRODUCT($F6:$F7/100,Q6:Q7))</f>
        <v/>
      </c>
      <c r="R8" s="4">
        <f>IF(COUNT(R6:R7)=0,"",SUMPRODUCT($F6:$F7/100,R6:R7))</f>
        <v/>
      </c>
      <c r="S8" s="4">
        <f>IF(COUNT(S6:S7)=0,"",SUMPRODUCT($F6:$F7/100,S6:S7))</f>
        <v/>
      </c>
      <c r="T8" s="4">
        <f>IF(COUNT(T6:T7)=0,"",SUMPRODUCT($F6:$F7/100,T6:T7))</f>
        <v/>
      </c>
      <c r="U8" s="4">
        <f>IF(COUNT(U6:U7)=0,"",SUMPRODUCT($F6:$F7/100,U6:U7))</f>
        <v/>
      </c>
      <c r="V8" s="4">
        <f>IF(COUNT(V6:V7)=0,"",SUMPRODUCT($F6:$F7/100,V6:V7))</f>
        <v/>
      </c>
      <c r="W8" s="4">
        <f>IF(COUNT(W6:W7)=0,"",SUMPRODUCT($F6:$F7/100,W6:W7))</f>
        <v/>
      </c>
      <c r="X8" s="4">
        <f>IF(COUNT(X6:X7)=0,"",SUMPRODUCT($F6:$F7/100,X6:X7))</f>
        <v/>
      </c>
      <c r="Y8" s="4">
        <f>IF(COUNT(Y6:Y7)=0,"",SUMPRODUCT($F6:$F7/100,Y6:Y7))</f>
        <v/>
      </c>
      <c r="Z8" s="4">
        <f>IF(COUNT(Z6:Z7)=0,"",SUMPRODUCT($F6:$F7/100,Z6:Z7))</f>
        <v/>
      </c>
      <c r="AA8" s="4">
        <f>IF(COUNT(AA6:AA7)=0,"",SUMPRODUCT($F6:$F7/100,AA6:AA7))</f>
        <v/>
      </c>
      <c r="AB8" s="4">
        <f>IF(COUNT(AB6:AB7)=0,"",SUMPRODUCT($F6:$F7/100,AB6:AB7))</f>
        <v/>
      </c>
      <c r="AC8" s="4">
        <f>IF(COUNT(AC6:AC7)=0,"",SUMPRODUCT($F6:$F7/100,AC6:AC7))</f>
        <v/>
      </c>
      <c r="AD8" s="4">
        <f>IF(COUNT(AD6:AD7)=0,"",SUMPRODUCT($F6:$F7/100,AD6:AD7))</f>
        <v/>
      </c>
      <c r="AE8" s="4">
        <f>IF(COUNT(AE6:AE7)=0,"",SUMPRODUCT($F6:$F7/100,AE6:AE7))</f>
        <v/>
      </c>
      <c r="AF8" s="4">
        <f>IF(COUNT(AF6:AF7)=0,"",SUMPRODUCT($F6:$F7/100,AF6:AF7))</f>
        <v/>
      </c>
      <c r="AG8" s="4" t="n">
        <v>1</v>
      </c>
    </row>
    <row r="9">
      <c r="A9" t="inlineStr">
        <is>
          <t>144</t>
        </is>
      </c>
      <c r="B9" t="inlineStr">
        <is>
          <t>Bumbu maskan jadi/kemasan, bumbu racikan</t>
        </is>
      </c>
      <c r="C9" t="inlineStr">
        <is>
          <t>no_match</t>
        </is>
      </c>
      <c r="D9" t="inlineStr">
        <is>
          <t>ingredient</t>
        </is>
      </c>
      <c r="E9" t="inlineStr">
        <is>
          <t>Bumbu soto daging (Bamboe Indonesia)</t>
        </is>
      </c>
      <c r="F9" s="2" t="n">
        <v>20</v>
      </c>
      <c r="G9" t="inlineStr">
        <is>
          <t>USDA</t>
        </is>
      </c>
      <c r="H9" t="inlineStr">
        <is>
          <t>2032322</t>
        </is>
      </c>
      <c r="I9" t="inlineStr">
        <is>
          <t>Indonesian bumbu sold in the US; shallot-garlic-turmeric-galangal spice mix</t>
        </is>
      </c>
      <c r="J9" t="inlineStr">
        <is>
          <t>https://fdc.nal.usda.gov/food-details/2032322/nutrients</t>
        </is>
      </c>
      <c r="K9" s="2" t="n"/>
      <c r="L9" s="2" t="n">
        <v>200</v>
      </c>
      <c r="M9" s="2" t="n">
        <v>10</v>
      </c>
      <c r="N9" s="2" t="n">
        <v>5</v>
      </c>
      <c r="O9" s="2" t="n">
        <v>20</v>
      </c>
      <c r="P9" s="2" t="n">
        <v>10</v>
      </c>
      <c r="Q9" s="2" t="n"/>
      <c r="R9" s="2" t="n">
        <v>0</v>
      </c>
      <c r="S9" s="2" t="n"/>
      <c r="T9" s="2" t="n">
        <v>10.8</v>
      </c>
      <c r="U9" s="2" t="n">
        <v>7300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>
        <v>100</v>
      </c>
      <c r="AG9" s="2" t="n"/>
    </row>
    <row r="10">
      <c r="A10" t="inlineStr">
        <is>
          <t>144</t>
        </is>
      </c>
      <c r="B10" t="inlineStr">
        <is>
          <t>Bumbu maskan jadi/kemasan, bumbu racikan</t>
        </is>
      </c>
      <c r="C10" t="inlineStr">
        <is>
          <t>no_match</t>
        </is>
      </c>
      <c r="D10" t="inlineStr">
        <is>
          <t>ingredient</t>
        </is>
      </c>
      <c r="E10" t="inlineStr">
        <is>
          <t>Bumbu kare instant seasoning (Indofood)</t>
        </is>
      </c>
      <c r="F10" s="2" t="n">
        <v>20</v>
      </c>
      <c r="G10" t="inlineStr">
        <is>
          <t>USDA</t>
        </is>
      </c>
      <c r="H10" t="inlineStr">
        <is>
          <t>2032236</t>
        </is>
      </c>
      <c r="I10" t="inlineStr">
        <is>
          <t>coconut-milk curry seasoning paste</t>
        </is>
      </c>
      <c r="J10" t="inlineStr">
        <is>
          <t>https://fdc.nal.usda.gov/food-details/2032236/nutrients</t>
        </is>
      </c>
      <c r="K10" s="2" t="n"/>
      <c r="L10" s="2" t="n">
        <v>333.3</v>
      </c>
      <c r="M10" s="2" t="n">
        <v>11.1</v>
      </c>
      <c r="N10" s="2" t="n">
        <v>22.2</v>
      </c>
      <c r="O10" s="2" t="n">
        <v>33.3</v>
      </c>
      <c r="P10" s="2" t="n">
        <v>11.1</v>
      </c>
      <c r="Q10" s="2" t="n"/>
      <c r="R10" s="2" t="n">
        <v>0</v>
      </c>
      <c r="S10" s="2" t="n"/>
      <c r="T10" s="2" t="n">
        <v>0</v>
      </c>
      <c r="U10" s="2" t="n">
        <v>4444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>
        <v>100</v>
      </c>
      <c r="AG10" s="2" t="n"/>
    </row>
    <row r="11">
      <c r="A11" t="inlineStr">
        <is>
          <t>144</t>
        </is>
      </c>
      <c r="B11" t="inlineStr">
        <is>
          <t>Bumbu maskan jadi/kemasan, bumbu racikan</t>
        </is>
      </c>
      <c r="C11" t="inlineStr">
        <is>
          <t>no_match</t>
        </is>
      </c>
      <c r="D11" t="inlineStr">
        <is>
          <t>ingredient</t>
        </is>
      </c>
      <c r="E11" t="inlineStr">
        <is>
          <t>Bumbu sambal goreng instant seasoning (Indofood)</t>
        </is>
      </c>
      <c r="F11" s="2" t="n">
        <v>20</v>
      </c>
      <c r="G11" t="inlineStr">
        <is>
          <t>USDA</t>
        </is>
      </c>
      <c r="H11" t="inlineStr">
        <is>
          <t>2032401</t>
        </is>
      </c>
      <c r="I11" t="inlineStr">
        <is>
          <t>chili-coconut seasoning paste</t>
        </is>
      </c>
      <c r="J11" t="inlineStr">
        <is>
          <t>https://fdc.nal.usda.gov/food-details/2032401/nutrients</t>
        </is>
      </c>
      <c r="K11" s="2" t="n"/>
      <c r="L11" s="2" t="n">
        <v>222.2</v>
      </c>
      <c r="M11" s="2" t="n">
        <v>11.1</v>
      </c>
      <c r="N11" s="2" t="n">
        <v>11.1</v>
      </c>
      <c r="O11" s="2" t="n">
        <v>22.2</v>
      </c>
      <c r="P11" s="2" t="n">
        <v>0</v>
      </c>
      <c r="Q11" s="2" t="n"/>
      <c r="R11" s="2" t="n">
        <v>0</v>
      </c>
      <c r="S11" s="2" t="n"/>
      <c r="T11" s="2" t="n">
        <v>0</v>
      </c>
      <c r="U11" s="2" t="n">
        <v>5333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>
        <v>100</v>
      </c>
      <c r="AG11" s="2" t="n"/>
    </row>
    <row r="12">
      <c r="A12" t="inlineStr">
        <is>
          <t>144</t>
        </is>
      </c>
      <c r="B12" t="inlineStr">
        <is>
          <t>Bumbu maskan jadi/kemasan, bumbu racikan</t>
        </is>
      </c>
      <c r="C12" t="inlineStr">
        <is>
          <t>no_match</t>
        </is>
      </c>
      <c r="D12" t="inlineStr">
        <is>
          <t>ingredient</t>
        </is>
      </c>
      <c r="E12" t="inlineStr">
        <is>
          <t>Bumbu semur instant spices (Bamboe Indonesia)</t>
        </is>
      </c>
      <c r="F12" s="2" t="n">
        <v>20</v>
      </c>
      <c r="G12" t="inlineStr">
        <is>
          <t>USDA</t>
        </is>
      </c>
      <c r="H12" t="inlineStr">
        <is>
          <t>2032198</t>
        </is>
      </c>
      <c r="I12" t="inlineStr">
        <is>
          <t>sweet soy-nutmeg braise mix</t>
        </is>
      </c>
      <c r="J12" t="inlineStr">
        <is>
          <t>https://fdc.nal.usda.gov/food-details/2032198/nutrients</t>
        </is>
      </c>
      <c r="K12" s="2" t="n"/>
      <c r="L12" s="2" t="n">
        <v>235.3</v>
      </c>
      <c r="M12" s="2" t="n">
        <v>5.9</v>
      </c>
      <c r="N12" s="2" t="n">
        <v>5.9</v>
      </c>
      <c r="O12" s="2" t="n">
        <v>41.2</v>
      </c>
      <c r="P12" s="2" t="n">
        <v>5.9</v>
      </c>
      <c r="Q12" s="2" t="n"/>
      <c r="R12" s="2" t="n">
        <v>235.3</v>
      </c>
      <c r="S12" s="2" t="n"/>
      <c r="T12" s="2" t="n">
        <v>4.24</v>
      </c>
      <c r="U12" s="2" t="n">
        <v>6058.8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>
        <v>100</v>
      </c>
      <c r="AG12" s="2" t="n"/>
    </row>
    <row r="13">
      <c r="A13" t="inlineStr">
        <is>
          <t>144</t>
        </is>
      </c>
      <c r="B13" t="inlineStr">
        <is>
          <t>Bumbu maskan jadi/kemasan, bumbu racikan</t>
        </is>
      </c>
      <c r="C13" t="inlineStr">
        <is>
          <t>no_match</t>
        </is>
      </c>
      <c r="D13" t="inlineStr">
        <is>
          <t>ingredient</t>
        </is>
      </c>
      <c r="E13" t="inlineStr">
        <is>
          <t>Bumbu rujak instant spices (Bamboe Indonesia)</t>
        </is>
      </c>
      <c r="F13" s="2" t="n">
        <v>20</v>
      </c>
      <c r="G13" t="inlineStr">
        <is>
          <t>USDA</t>
        </is>
      </c>
      <c r="H13" t="inlineStr">
        <is>
          <t>2032292</t>
        </is>
      </c>
      <c r="I13" t="inlineStr">
        <is>
          <t>turmeric-chili-coriander mix</t>
        </is>
      </c>
      <c r="J13" t="inlineStr">
        <is>
          <t>https://fdc.nal.usda.gov/food-details/2032292/nutrients</t>
        </is>
      </c>
      <c r="K13" s="2" t="n"/>
      <c r="L13" s="2" t="n">
        <v>260.9</v>
      </c>
      <c r="M13" s="2" t="n">
        <v>8.699999999999999</v>
      </c>
      <c r="N13" s="2" t="n">
        <v>13</v>
      </c>
      <c r="O13" s="2" t="n">
        <v>26.1</v>
      </c>
      <c r="P13" s="2" t="n">
        <v>17.4</v>
      </c>
      <c r="Q13" s="2" t="n"/>
      <c r="R13" s="2" t="n">
        <v>0</v>
      </c>
      <c r="S13" s="2" t="n"/>
      <c r="T13" s="2" t="n">
        <v>3.13</v>
      </c>
      <c r="U13" s="2" t="n">
        <v>4443.5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>
        <v>100</v>
      </c>
      <c r="AG13" s="2" t="n"/>
    </row>
    <row r="14">
      <c r="A14" s="3" t="inlineStr">
        <is>
          <t>144</t>
        </is>
      </c>
      <c r="B14" s="3" t="inlineStr">
        <is>
          <t>Bumbu maskan jadi/kemasan, bumbu racikan</t>
        </is>
      </c>
      <c r="C14" s="3" t="inlineStr">
        <is>
          <t>no_match</t>
        </is>
      </c>
      <c r="D14" s="3" t="inlineStr">
        <is>
          <t>average</t>
        </is>
      </c>
      <c r="E14" s="3" t="inlineStr">
        <is>
          <t>Bumbu maskan jadi/kemasan, bumbu racikan, per 100 g</t>
        </is>
      </c>
      <c r="F14" s="4">
        <f>SUM(F9:F13)</f>
        <v/>
      </c>
      <c r="G14" s="3" t="inlineStr">
        <is>
          <t>calculated</t>
        </is>
      </c>
      <c r="H14" s="3" t="inlineStr">
        <is>
          <t>-</t>
        </is>
      </c>
      <c r="I14" s="3" t="inlineStr">
        <is>
          <t>weighted average; ingredients missing a nutrient count as zero (values are minimums where a source is incomplete); blank = no ingredient reports it</t>
        </is>
      </c>
      <c r="J14" s="3" t="inlineStr">
        <is>
          <t>-</t>
        </is>
      </c>
      <c r="K14" s="4">
        <f>IF(COUNT(K9:K13)=0,"",SUMPRODUCT($F9:$F13/100,K9:K13))</f>
        <v/>
      </c>
      <c r="L14" s="4">
        <f>IF(COUNT(L9:L13)=0,"",SUMPRODUCT($F9:$F13/100,L9:L13))</f>
        <v/>
      </c>
      <c r="M14" s="4">
        <f>IF(COUNT(M9:M13)=0,"",SUMPRODUCT($F9:$F13/100,M9:M13))</f>
        <v/>
      </c>
      <c r="N14" s="4">
        <f>IF(COUNT(N9:N13)=0,"",SUMPRODUCT($F9:$F13/100,N9:N13))</f>
        <v/>
      </c>
      <c r="O14" s="4">
        <f>IF(COUNT(O9:O13)=0,"",SUMPRODUCT($F9:$F13/100,O9:O13))</f>
        <v/>
      </c>
      <c r="P14" s="4">
        <f>IF(COUNT(P9:P13)=0,"",SUMPRODUCT($F9:$F13/100,P9:P13))</f>
        <v/>
      </c>
      <c r="Q14" s="4">
        <f>IF(COUNT(Q9:Q13)=0,"",SUMPRODUCT($F9:$F13/100,Q9:Q13))</f>
        <v/>
      </c>
      <c r="R14" s="4">
        <f>IF(COUNT(R9:R13)=0,"",SUMPRODUCT($F9:$F13/100,R9:R13))</f>
        <v/>
      </c>
      <c r="S14" s="4">
        <f>IF(COUNT(S9:S13)=0,"",SUMPRODUCT($F9:$F13/100,S9:S13))</f>
        <v/>
      </c>
      <c r="T14" s="4">
        <f>IF(COUNT(T9:T13)=0,"",SUMPRODUCT($F9:$F13/100,T9:T13))</f>
        <v/>
      </c>
      <c r="U14" s="4">
        <f>IF(COUNT(U9:U13)=0,"",SUMPRODUCT($F9:$F13/100,U9:U13))</f>
        <v/>
      </c>
      <c r="V14" s="4">
        <f>IF(COUNT(V9:V13)=0,"",SUMPRODUCT($F9:$F13/100,V9:V13))</f>
        <v/>
      </c>
      <c r="W14" s="4">
        <f>IF(COUNT(W9:W13)=0,"",SUMPRODUCT($F9:$F13/100,W9:W13))</f>
        <v/>
      </c>
      <c r="X14" s="4">
        <f>IF(COUNT(X9:X13)=0,"",SUMPRODUCT($F9:$F13/100,X9:X13))</f>
        <v/>
      </c>
      <c r="Y14" s="4">
        <f>IF(COUNT(Y9:Y13)=0,"",SUMPRODUCT($F9:$F13/100,Y9:Y13))</f>
        <v/>
      </c>
      <c r="Z14" s="4">
        <f>IF(COUNT(Z9:Z13)=0,"",SUMPRODUCT($F9:$F13/100,Z9:Z13))</f>
        <v/>
      </c>
      <c r="AA14" s="4">
        <f>IF(COUNT(AA9:AA13)=0,"",SUMPRODUCT($F9:$F13/100,AA9:AA13))</f>
        <v/>
      </c>
      <c r="AB14" s="4">
        <f>IF(COUNT(AB9:AB13)=0,"",SUMPRODUCT($F9:$F13/100,AB9:AB13))</f>
        <v/>
      </c>
      <c r="AC14" s="4">
        <f>IF(COUNT(AC9:AC13)=0,"",SUMPRODUCT($F9:$F13/100,AC9:AC13))</f>
        <v/>
      </c>
      <c r="AD14" s="4">
        <f>IF(COUNT(AD9:AD13)=0,"",SUMPRODUCT($F9:$F13/100,AD9:AD13))</f>
        <v/>
      </c>
      <c r="AE14" s="4">
        <f>IF(COUNT(AE9:AE13)=0,"",SUMPRODUCT($F9:$F13/100,AE9:AE13))</f>
        <v/>
      </c>
      <c r="AF14" s="4">
        <f>IF(COUNT(AF9:AF13)=0,"",SUMPRODUCT($F9:$F13/100,AF9:AF13))</f>
        <v/>
      </c>
      <c r="AG14" s="4" t="n">
        <v>1</v>
      </c>
    </row>
    <row r="15">
      <c r="A15" t="inlineStr">
        <is>
          <t>158</t>
        </is>
      </c>
      <c r="B15" t="inlineStr">
        <is>
          <t>Gado-gado, ketoprak, pecel</t>
        </is>
      </c>
      <c r="C15" t="inlineStr">
        <is>
          <t>tkpi</t>
        </is>
      </c>
      <c r="D15" t="inlineStr">
        <is>
          <t>ingredient</t>
        </is>
      </c>
      <c r="E15" t="inlineStr">
        <is>
          <t>Ketoprak</t>
        </is>
      </c>
      <c r="F15" s="2" t="n">
        <v>50</v>
      </c>
      <c r="G15" t="inlineStr">
        <is>
          <t>TKPI</t>
        </is>
      </c>
      <c r="H15" t="inlineStr">
        <is>
          <t>AP060</t>
        </is>
      </c>
      <c r="I15" t="inlineStr">
        <is>
          <t>ketoprak and gado-gado averaged as representative; no source carries a pecel entry</t>
        </is>
      </c>
      <c r="J15" t="inlineStr">
        <is>
          <t>-</t>
        </is>
      </c>
      <c r="K15" s="2" t="n">
        <v>69.09999999999999</v>
      </c>
      <c r="L15" s="2" t="n">
        <v>153</v>
      </c>
      <c r="M15" s="2" t="n">
        <v>7.9</v>
      </c>
      <c r="N15" s="2" t="n">
        <v>7.7</v>
      </c>
      <c r="O15" s="2" t="n">
        <v>13</v>
      </c>
      <c r="P15" s="2" t="n">
        <v>2.9</v>
      </c>
      <c r="Q15" s="2" t="n">
        <v>2.6</v>
      </c>
      <c r="R15" s="2" t="n">
        <v>153</v>
      </c>
      <c r="S15" s="2" t="n">
        <v>134</v>
      </c>
      <c r="T15" s="2" t="n">
        <v>3.4</v>
      </c>
      <c r="U15" s="2" t="n"/>
      <c r="V15" s="2" t="n"/>
      <c r="W15" s="2" t="n"/>
      <c r="X15" s="2" t="n"/>
      <c r="Y15" s="2" t="n">
        <v>3</v>
      </c>
      <c r="Z15" s="2" t="n"/>
      <c r="AA15" s="2" t="n">
        <v>435</v>
      </c>
      <c r="AB15" s="2" t="n">
        <v>0.05</v>
      </c>
      <c r="AC15" s="2" t="n"/>
      <c r="AD15" s="2" t="n"/>
      <c r="AE15" s="2" t="n">
        <v>0</v>
      </c>
      <c r="AF15" s="2" t="n">
        <v>100</v>
      </c>
      <c r="AG15" s="2" t="n"/>
    </row>
    <row r="16">
      <c r="A16" t="inlineStr">
        <is>
          <t>158</t>
        </is>
      </c>
      <c r="B16" t="inlineStr">
        <is>
          <t>Gado-gado, ketoprak, pecel</t>
        </is>
      </c>
      <c r="C16" t="inlineStr">
        <is>
          <t>tkpi</t>
        </is>
      </c>
      <c r="D16" t="inlineStr">
        <is>
          <t>ingredient</t>
        </is>
      </c>
      <c r="E16" t="inlineStr">
        <is>
          <t>Gado-gado</t>
        </is>
      </c>
      <c r="F16" s="2" t="n">
        <v>50</v>
      </c>
      <c r="G16" t="inlineStr">
        <is>
          <t>TKPI</t>
        </is>
      </c>
      <c r="H16" t="inlineStr">
        <is>
          <t>DP031</t>
        </is>
      </c>
      <c r="J16" t="inlineStr">
        <is>
          <t>-</t>
        </is>
      </c>
      <c r="K16" s="2" t="n">
        <v>68.5</v>
      </c>
      <c r="L16" s="2" t="n">
        <v>137</v>
      </c>
      <c r="M16" s="2" t="n">
        <v>6.1</v>
      </c>
      <c r="N16" s="2" t="n">
        <v>3.2</v>
      </c>
      <c r="O16" s="2" t="n">
        <v>21</v>
      </c>
      <c r="P16" s="2" t="n">
        <v>1.1</v>
      </c>
      <c r="Q16" s="2" t="n">
        <v>1.5</v>
      </c>
      <c r="R16" s="2" t="n">
        <v>301</v>
      </c>
      <c r="S16" s="2" t="n">
        <v>135</v>
      </c>
      <c r="T16" s="2" t="n">
        <v>7.5</v>
      </c>
      <c r="U16" s="2" t="n"/>
      <c r="V16" s="2" t="n"/>
      <c r="W16" s="2" t="n"/>
      <c r="X16" s="2" t="n"/>
      <c r="Y16" s="2" t="n">
        <v>3</v>
      </c>
      <c r="Z16" s="2" t="n"/>
      <c r="AA16" s="2" t="n">
        <v>5929</v>
      </c>
      <c r="AB16" s="2" t="n">
        <v>0.1</v>
      </c>
      <c r="AC16" s="2" t="n"/>
      <c r="AD16" s="2" t="n"/>
      <c r="AE16" s="2" t="n">
        <v>1</v>
      </c>
      <c r="AF16" s="2" t="n">
        <v>100</v>
      </c>
      <c r="AG16" s="2" t="n"/>
    </row>
    <row r="17">
      <c r="A17" s="3" t="inlineStr">
        <is>
          <t>158</t>
        </is>
      </c>
      <c r="B17" s="3" t="inlineStr">
        <is>
          <t>Gado-gado, ketoprak, pecel</t>
        </is>
      </c>
      <c r="C17" s="3" t="inlineStr">
        <is>
          <t>tkpi</t>
        </is>
      </c>
      <c r="D17" s="3" t="inlineStr">
        <is>
          <t>average</t>
        </is>
      </c>
      <c r="E17" s="3" t="inlineStr">
        <is>
          <t>Gado-gado, ketoprak, pecel, per 100 g</t>
        </is>
      </c>
      <c r="F17" s="4">
        <f>SUM(F15:F16)</f>
        <v/>
      </c>
      <c r="G17" s="3" t="inlineStr">
        <is>
          <t>calculated</t>
        </is>
      </c>
      <c r="H17" s="3" t="inlineStr">
        <is>
          <t>-</t>
        </is>
      </c>
      <c r="I17" s="3" t="inlineStr">
        <is>
          <t>weighted average; ingredients missing a nutrient count as zero (values are minimums where a source is incomplete); blank = no ingredient reports it</t>
        </is>
      </c>
      <c r="J17" s="3" t="inlineStr">
        <is>
          <t>-</t>
        </is>
      </c>
      <c r="K17" s="4">
        <f>IF(COUNT(K15:K16)=0,"",SUMPRODUCT($F15:$F16/100,K15:K16))</f>
        <v/>
      </c>
      <c r="L17" s="4">
        <f>IF(COUNT(L15:L16)=0,"",SUMPRODUCT($F15:$F16/100,L15:L16))</f>
        <v/>
      </c>
      <c r="M17" s="4">
        <f>IF(COUNT(M15:M16)=0,"",SUMPRODUCT($F15:$F16/100,M15:M16))</f>
        <v/>
      </c>
      <c r="N17" s="4">
        <f>IF(COUNT(N15:N16)=0,"",SUMPRODUCT($F15:$F16/100,N15:N16))</f>
        <v/>
      </c>
      <c r="O17" s="4">
        <f>IF(COUNT(O15:O16)=0,"",SUMPRODUCT($F15:$F16/100,O15:O16))</f>
        <v/>
      </c>
      <c r="P17" s="4">
        <f>IF(COUNT(P15:P16)=0,"",SUMPRODUCT($F15:$F16/100,P15:P16))</f>
        <v/>
      </c>
      <c r="Q17" s="4">
        <f>IF(COUNT(Q15:Q16)=0,"",SUMPRODUCT($F15:$F16/100,Q15:Q16))</f>
        <v/>
      </c>
      <c r="R17" s="4">
        <f>IF(COUNT(R15:R16)=0,"",SUMPRODUCT($F15:$F16/100,R15:R16))</f>
        <v/>
      </c>
      <c r="S17" s="4">
        <f>IF(COUNT(S15:S16)=0,"",SUMPRODUCT($F15:$F16/100,S15:S16))</f>
        <v/>
      </c>
      <c r="T17" s="4">
        <f>IF(COUNT(T15:T16)=0,"",SUMPRODUCT($F15:$F16/100,T15:T16))</f>
        <v/>
      </c>
      <c r="U17" s="4">
        <f>IF(COUNT(U15:U16)=0,"",SUMPRODUCT($F15:$F16/100,U15:U16))</f>
        <v/>
      </c>
      <c r="V17" s="4">
        <f>IF(COUNT(V15:V16)=0,"",SUMPRODUCT($F15:$F16/100,V15:V16))</f>
        <v/>
      </c>
      <c r="W17" s="4">
        <f>IF(COUNT(W15:W16)=0,"",SUMPRODUCT($F15:$F16/100,W15:W16))</f>
        <v/>
      </c>
      <c r="X17" s="4">
        <f>IF(COUNT(X15:X16)=0,"",SUMPRODUCT($F15:$F16/100,X15:X16))</f>
        <v/>
      </c>
      <c r="Y17" s="4">
        <f>IF(COUNT(Y15:Y16)=0,"",SUMPRODUCT($F15:$F16/100,Y15:Y16))</f>
        <v/>
      </c>
      <c r="Z17" s="4">
        <f>IF(COUNT(Z15:Z16)=0,"",SUMPRODUCT($F15:$F16/100,Z15:Z16))</f>
        <v/>
      </c>
      <c r="AA17" s="4">
        <f>IF(COUNT(AA15:AA16)=0,"",SUMPRODUCT($F15:$F16/100,AA15:AA16))</f>
        <v/>
      </c>
      <c r="AB17" s="4">
        <f>IF(COUNT(AB15:AB16)=0,"",SUMPRODUCT($F15:$F16/100,AB15:AB16))</f>
        <v/>
      </c>
      <c r="AC17" s="4">
        <f>IF(COUNT(AC15:AC16)=0,"",SUMPRODUCT($F15:$F16/100,AC15:AC16))</f>
        <v/>
      </c>
      <c r="AD17" s="4">
        <f>IF(COUNT(AD15:AD16)=0,"",SUMPRODUCT($F15:$F16/100,AD15:AD16))</f>
        <v/>
      </c>
      <c r="AE17" s="4">
        <f>IF(COUNT(AE15:AE16)=0,"",SUMPRODUCT($F15:$F16/100,AE15:AE16))</f>
        <v/>
      </c>
      <c r="AF17" s="4">
        <f>IF(COUNT(AF15:AF16)=0,"",SUMPRODUCT($F15:$F16/100,AF15:AF16))</f>
        <v/>
      </c>
      <c r="AG17" s="4" t="n">
        <v>1</v>
      </c>
    </row>
    <row r="18">
      <c r="A18" t="inlineStr">
        <is>
          <t>162</t>
        </is>
      </c>
      <c r="B18" t="inlineStr">
        <is>
          <t>Lontong/ketupat sayur</t>
        </is>
      </c>
      <c r="C18" t="inlineStr">
        <is>
          <t>no_match</t>
        </is>
      </c>
      <c r="D18" t="inlineStr">
        <is>
          <t>ingredient</t>
        </is>
      </c>
      <c r="E18" t="inlineStr">
        <is>
          <t>Lontong (rice cake)</t>
        </is>
      </c>
      <c r="F18" s="2" t="n">
        <v>40.5</v>
      </c>
      <c r="G18" t="inlineStr">
        <is>
          <t>SMILING</t>
        </is>
      </c>
      <c r="H18" t="inlineStr">
        <is>
          <t>63</t>
        </is>
      </c>
      <c r="J18" t="inlineStr">
        <is>
          <t>-</t>
        </is>
      </c>
      <c r="K18" s="2" t="n">
        <v>58.09999999999999</v>
      </c>
      <c r="L18" s="2" t="n">
        <v>191.2</v>
      </c>
      <c r="M18" s="2" t="n">
        <v>2.2</v>
      </c>
      <c r="N18" s="2" t="n">
        <v>4.2</v>
      </c>
      <c r="O18" s="2" t="n">
        <v>35.5</v>
      </c>
      <c r="P18" s="2" t="n">
        <v>1.3</v>
      </c>
      <c r="Q18" s="2" t="n">
        <v>0</v>
      </c>
      <c r="R18" s="2" t="n">
        <v>4</v>
      </c>
      <c r="S18" s="2" t="n"/>
      <c r="T18" s="2" t="n">
        <v>0.5</v>
      </c>
      <c r="U18" s="2" t="n"/>
      <c r="V18" s="2" t="n"/>
      <c r="W18" s="2" t="n"/>
      <c r="X18" s="2" t="n">
        <v>0.4</v>
      </c>
      <c r="Y18" s="2" t="n">
        <v>0</v>
      </c>
      <c r="Z18" s="2" t="n">
        <v>0</v>
      </c>
      <c r="AA18" s="2" t="n"/>
      <c r="AB18" s="2" t="n">
        <v>0</v>
      </c>
      <c r="AC18" s="2" t="n">
        <v>0</v>
      </c>
      <c r="AD18" s="2" t="n">
        <v>0.4</v>
      </c>
      <c r="AE18" s="2" t="n">
        <v>0</v>
      </c>
      <c r="AF18" s="2" t="n">
        <v>100</v>
      </c>
      <c r="AG18" s="2" t="n"/>
    </row>
    <row r="19">
      <c r="A19" t="inlineStr">
        <is>
          <t>162</t>
        </is>
      </c>
      <c r="B19" t="inlineStr">
        <is>
          <t>Lontong/ketupat sayur</t>
        </is>
      </c>
      <c r="C19" t="inlineStr">
        <is>
          <t>no_match</t>
        </is>
      </c>
      <c r="D19" t="inlineStr">
        <is>
          <t>ingredient</t>
        </is>
      </c>
      <c r="E19" t="inlineStr">
        <is>
          <t>Santan (dengan air)</t>
        </is>
      </c>
      <c r="F19" s="2" t="n">
        <v>18</v>
      </c>
      <c r="G19" t="inlineStr">
        <is>
          <t>TKPI</t>
        </is>
      </c>
      <c r="H19" t="inlineStr">
        <is>
          <t>KP003</t>
        </is>
      </c>
      <c r="I19" t="inlineStr">
        <is>
          <t>coconut soup base</t>
        </is>
      </c>
      <c r="J19" t="inlineStr">
        <is>
          <t>-</t>
        </is>
      </c>
      <c r="K19" s="2" t="n">
        <v>80</v>
      </c>
      <c r="L19" s="2" t="n">
        <v>122</v>
      </c>
      <c r="M19" s="2" t="n">
        <v>2</v>
      </c>
      <c r="N19" s="2" t="n">
        <v>10</v>
      </c>
      <c r="O19" s="2" t="n">
        <v>7.6</v>
      </c>
      <c r="P19" s="2" t="n">
        <v>1.4</v>
      </c>
      <c r="Q19" s="2" t="n">
        <v>0.4</v>
      </c>
      <c r="R19" s="2" t="n">
        <v>25</v>
      </c>
      <c r="S19" s="2" t="n">
        <v>30</v>
      </c>
      <c r="T19" s="2" t="n">
        <v>0.1</v>
      </c>
      <c r="U19" s="2" t="n">
        <v>9</v>
      </c>
      <c r="V19" s="2" t="n">
        <v>162.4</v>
      </c>
      <c r="W19" s="2" t="n">
        <v>0.16</v>
      </c>
      <c r="X19" s="2" t="n">
        <v>0.4</v>
      </c>
      <c r="Y19" s="2" t="n">
        <v>0</v>
      </c>
      <c r="Z19" s="2" t="n"/>
      <c r="AA19" s="2" t="n"/>
      <c r="AB19" s="2" t="n">
        <v>0.02</v>
      </c>
      <c r="AC19" s="2" t="n">
        <v>0</v>
      </c>
      <c r="AD19" s="2" t="n">
        <v>0.5</v>
      </c>
      <c r="AE19" s="2" t="n">
        <v>2</v>
      </c>
      <c r="AF19" s="2" t="n">
        <v>100</v>
      </c>
      <c r="AG19" s="2" t="n"/>
    </row>
    <row r="20">
      <c r="A20" t="inlineStr">
        <is>
          <t>162</t>
        </is>
      </c>
      <c r="B20" t="inlineStr">
        <is>
          <t>Lontong/ketupat sayur</t>
        </is>
      </c>
      <c r="C20" t="inlineStr">
        <is>
          <t>no_match</t>
        </is>
      </c>
      <c r="D20" t="inlineStr">
        <is>
          <t>ingredient</t>
        </is>
      </c>
      <c r="E20" t="inlineStr">
        <is>
          <t>Telur ayam rebus (satu butir)</t>
        </is>
      </c>
      <c r="F20" s="2" t="n">
        <v>10</v>
      </c>
      <c r="G20" t="inlineStr">
        <is>
          <t>TKPI</t>
        </is>
      </c>
      <c r="H20" t="inlineStr">
        <is>
          <t>HR002</t>
        </is>
      </c>
      <c r="I20" t="inlineStr">
        <is>
          <t>one boiled egg, about 50 g edible, in a 500 g portion; no source carries a boiled-egg entry, so the fresh-egg values stand in (boiling changes them very little)</t>
        </is>
      </c>
      <c r="J20" t="inlineStr">
        <is>
          <t>-</t>
        </is>
      </c>
      <c r="K20" s="2" t="n">
        <v>74.3</v>
      </c>
      <c r="L20" s="2" t="n">
        <v>154</v>
      </c>
      <c r="M20" s="2" t="n">
        <v>12.4</v>
      </c>
      <c r="N20" s="2" t="n">
        <v>10.8</v>
      </c>
      <c r="O20" s="2" t="n">
        <v>0.7</v>
      </c>
      <c r="P20" s="2" t="n">
        <v>0</v>
      </c>
      <c r="Q20" s="2" t="n">
        <v>0.8</v>
      </c>
      <c r="R20" s="2" t="n">
        <v>86</v>
      </c>
      <c r="S20" s="2" t="n">
        <v>258</v>
      </c>
      <c r="T20" s="2" t="n">
        <v>3</v>
      </c>
      <c r="U20" s="2" t="n">
        <v>142</v>
      </c>
      <c r="V20" s="2" t="n">
        <v>118.5</v>
      </c>
      <c r="W20" s="2" t="n">
        <v>0.16</v>
      </c>
      <c r="X20" s="2" t="n">
        <v>1</v>
      </c>
      <c r="Y20" s="2" t="n">
        <v>61</v>
      </c>
      <c r="Z20" s="2" t="n">
        <v>22</v>
      </c>
      <c r="AA20" s="2" t="n">
        <v>104</v>
      </c>
      <c r="AB20" s="2" t="n">
        <v>0.12</v>
      </c>
      <c r="AC20" s="2" t="n">
        <v>0.38</v>
      </c>
      <c r="AD20" s="2" t="n">
        <v>0.2</v>
      </c>
      <c r="AE20" s="2" t="n">
        <v>0</v>
      </c>
      <c r="AF20" s="2" t="n">
        <v>89</v>
      </c>
      <c r="AG20" s="2" t="n"/>
    </row>
    <row r="21">
      <c r="A21" t="inlineStr">
        <is>
          <t>162</t>
        </is>
      </c>
      <c r="B21" t="inlineStr">
        <is>
          <t>Lontong/ketupat sayur</t>
        </is>
      </c>
      <c r="C21" t="inlineStr">
        <is>
          <t>no_match</t>
        </is>
      </c>
      <c r="D21" t="inlineStr">
        <is>
          <t>ingredient</t>
        </is>
      </c>
      <c r="E21" t="inlineStr">
        <is>
          <t>Labu siam, segar</t>
        </is>
      </c>
      <c r="F21" s="2" t="n">
        <v>7.2</v>
      </c>
      <c r="G21" t="inlineStr">
        <is>
          <t>TKPI</t>
        </is>
      </c>
      <c r="H21" t="inlineStr">
        <is>
          <t>DR123</t>
        </is>
      </c>
      <c r="J21" t="inlineStr">
        <is>
          <t>-</t>
        </is>
      </c>
      <c r="K21" s="2" t="n">
        <v>92.3</v>
      </c>
      <c r="L21" s="2" t="n">
        <v>30</v>
      </c>
      <c r="M21" s="2" t="n">
        <v>0.6</v>
      </c>
      <c r="N21" s="2" t="n">
        <v>0.1</v>
      </c>
      <c r="O21" s="2" t="n">
        <v>6.7</v>
      </c>
      <c r="P21" s="2" t="n">
        <v>6.2</v>
      </c>
      <c r="Q21" s="2" t="n">
        <v>0.3</v>
      </c>
      <c r="R21" s="2" t="n">
        <v>14</v>
      </c>
      <c r="S21" s="2" t="n">
        <v>25</v>
      </c>
      <c r="T21" s="2" t="n">
        <v>0.5</v>
      </c>
      <c r="U21" s="2" t="n">
        <v>2.7</v>
      </c>
      <c r="V21" s="2" t="n">
        <v>167.1</v>
      </c>
      <c r="W21" s="2" t="n">
        <v>0.16</v>
      </c>
      <c r="X21" s="2" t="n">
        <v>1</v>
      </c>
      <c r="Y21" s="2" t="n"/>
      <c r="Z21" s="2" t="n">
        <v>48</v>
      </c>
      <c r="AA21" s="2" t="n">
        <v>20</v>
      </c>
      <c r="AB21" s="2" t="n">
        <v>0.02</v>
      </c>
      <c r="AC21" s="2" t="n">
        <v>0</v>
      </c>
      <c r="AD21" s="2" t="n">
        <v>0.6</v>
      </c>
      <c r="AE21" s="2" t="n">
        <v>18</v>
      </c>
      <c r="AF21" s="2" t="n">
        <v>83</v>
      </c>
      <c r="AG21" s="2" t="n"/>
    </row>
    <row r="22">
      <c r="A22" t="inlineStr">
        <is>
          <t>162</t>
        </is>
      </c>
      <c r="B22" t="inlineStr">
        <is>
          <t>Lontong/ketupat sayur</t>
        </is>
      </c>
      <c r="C22" t="inlineStr">
        <is>
          <t>no_match</t>
        </is>
      </c>
      <c r="D22" t="inlineStr">
        <is>
          <t>ingredient</t>
        </is>
      </c>
      <c r="E22" t="inlineStr">
        <is>
          <t>Kacang panjang, segar</t>
        </is>
      </c>
      <c r="F22" s="2" t="n">
        <v>3.6</v>
      </c>
      <c r="G22" t="inlineStr">
        <is>
          <t>TKPI</t>
        </is>
      </c>
      <c r="H22" t="inlineStr">
        <is>
          <t>DR097</t>
        </is>
      </c>
      <c r="J22" t="inlineStr">
        <is>
          <t>-</t>
        </is>
      </c>
      <c r="K22" s="2" t="n">
        <v>91.8</v>
      </c>
      <c r="L22" s="2" t="n">
        <v>31</v>
      </c>
      <c r="M22" s="2" t="n">
        <v>2.3</v>
      </c>
      <c r="N22" s="2" t="n">
        <v>0.1</v>
      </c>
      <c r="O22" s="2" t="n">
        <v>5.3</v>
      </c>
      <c r="P22" s="2" t="n">
        <v>2.7</v>
      </c>
      <c r="Q22" s="2" t="n">
        <v>0.5</v>
      </c>
      <c r="R22" s="2" t="n">
        <v>60</v>
      </c>
      <c r="S22" s="2" t="n">
        <v>64</v>
      </c>
      <c r="T22" s="2" t="n">
        <v>0.6</v>
      </c>
      <c r="U22" s="2" t="n">
        <v>30</v>
      </c>
      <c r="V22" s="2" t="n">
        <v>213</v>
      </c>
      <c r="W22" s="2" t="n">
        <v>0.1</v>
      </c>
      <c r="X22" s="2" t="n">
        <v>0.5</v>
      </c>
      <c r="Y22" s="2" t="n">
        <v>0</v>
      </c>
      <c r="Z22" s="2" t="n">
        <v>125</v>
      </c>
      <c r="AA22" s="2" t="n"/>
      <c r="AB22" s="2" t="n">
        <v>0.7</v>
      </c>
      <c r="AC22" s="2" t="n">
        <v>0.1</v>
      </c>
      <c r="AD22" s="2" t="n">
        <v>0.3</v>
      </c>
      <c r="AE22" s="2" t="n">
        <v>46</v>
      </c>
      <c r="AF22" s="2" t="n">
        <v>92</v>
      </c>
      <c r="AG22" s="2" t="n"/>
    </row>
    <row r="23">
      <c r="A23" t="inlineStr">
        <is>
          <t>162</t>
        </is>
      </c>
      <c r="B23" t="inlineStr">
        <is>
          <t>Lontong/ketupat sayur</t>
        </is>
      </c>
      <c r="C23" t="inlineStr">
        <is>
          <t>no_match</t>
        </is>
      </c>
      <c r="D23" t="inlineStr">
        <is>
          <t>ingredient</t>
        </is>
      </c>
      <c r="E23" t="inlineStr">
        <is>
          <t>Nangka muda, segar</t>
        </is>
      </c>
      <c r="F23" s="2" t="n">
        <v>3.6</v>
      </c>
      <c r="G23" t="inlineStr">
        <is>
          <t>TKPI</t>
        </is>
      </c>
      <c r="H23" t="inlineStr">
        <is>
          <t>DR130</t>
        </is>
      </c>
      <c r="J23" t="inlineStr">
        <is>
          <t>-</t>
        </is>
      </c>
      <c r="K23" s="2" t="n">
        <v>85.40000000000001</v>
      </c>
      <c r="L23" s="2" t="n">
        <v>57</v>
      </c>
      <c r="M23" s="2" t="n">
        <v>2</v>
      </c>
      <c r="N23" s="2" t="n">
        <v>0.4</v>
      </c>
      <c r="O23" s="2" t="n">
        <v>11.3</v>
      </c>
      <c r="P23" s="2" t="n">
        <v>8.300000000000001</v>
      </c>
      <c r="Q23" s="2" t="n">
        <v>0.9</v>
      </c>
      <c r="R23" s="2" t="n">
        <v>45</v>
      </c>
      <c r="S23" s="2" t="n">
        <v>29</v>
      </c>
      <c r="T23" s="2" t="n">
        <v>0.5</v>
      </c>
      <c r="U23" s="2" t="n">
        <v>1.1</v>
      </c>
      <c r="V23" s="2" t="n">
        <v>246.5</v>
      </c>
      <c r="W23" s="2" t="n">
        <v>0.04</v>
      </c>
      <c r="X23" s="2" t="n">
        <v>0.1</v>
      </c>
      <c r="Y23" s="2" t="n"/>
      <c r="Z23" s="2" t="n">
        <v>21</v>
      </c>
      <c r="AA23" s="2" t="n">
        <v>25</v>
      </c>
      <c r="AB23" s="2" t="n">
        <v>0.07000000000000001</v>
      </c>
      <c r="AC23" s="2" t="n">
        <v>0.06</v>
      </c>
      <c r="AD23" s="2" t="n">
        <v>0.7</v>
      </c>
      <c r="AE23" s="2" t="n">
        <v>9</v>
      </c>
      <c r="AF23" s="2" t="n">
        <v>80</v>
      </c>
      <c r="AG23" s="2" t="n"/>
    </row>
    <row r="24">
      <c r="A24" t="inlineStr">
        <is>
          <t>162</t>
        </is>
      </c>
      <c r="B24" t="inlineStr">
        <is>
          <t>Lontong/ketupat sayur</t>
        </is>
      </c>
      <c r="C24" t="inlineStr">
        <is>
          <t>no_match</t>
        </is>
      </c>
      <c r="D24" t="inlineStr">
        <is>
          <t>ingredient</t>
        </is>
      </c>
      <c r="E24" t="inlineStr">
        <is>
          <t>Minyak kelapa sawit</t>
        </is>
      </c>
      <c r="F24" s="2" t="n">
        <v>2.25</v>
      </c>
      <c r="G24" t="inlineStr">
        <is>
          <t>TKPI</t>
        </is>
      </c>
      <c r="H24" t="inlineStr">
        <is>
          <t>KR012</t>
        </is>
      </c>
      <c r="J24" t="inlineStr">
        <is>
          <t>-</t>
        </is>
      </c>
      <c r="K24" s="2" t="n">
        <v>0</v>
      </c>
      <c r="L24" s="2" t="n">
        <v>884</v>
      </c>
      <c r="M24" s="2" t="n">
        <v>0</v>
      </c>
      <c r="N24" s="2" t="n">
        <v>100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/>
      <c r="Z24" s="2" t="n">
        <v>18181</v>
      </c>
      <c r="AA24" s="2" t="n"/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100</v>
      </c>
      <c r="AG24" s="2" t="n"/>
    </row>
    <row r="25">
      <c r="A25" t="inlineStr">
        <is>
          <t>162</t>
        </is>
      </c>
      <c r="B25" t="inlineStr">
        <is>
          <t>Lontong/ketupat sayur</t>
        </is>
      </c>
      <c r="C25" t="inlineStr">
        <is>
          <t>no_match</t>
        </is>
      </c>
      <c r="D25" t="inlineStr">
        <is>
          <t>ingredient</t>
        </is>
      </c>
      <c r="E25" t="inlineStr">
        <is>
          <t>Bawang merah, segar</t>
        </is>
      </c>
      <c r="F25" s="2" t="n">
        <v>2.25</v>
      </c>
      <c r="G25" t="inlineStr">
        <is>
          <t>TKPI</t>
        </is>
      </c>
      <c r="H25" t="inlineStr">
        <is>
          <t>NR007</t>
        </is>
      </c>
      <c r="I25" t="inlineStr">
        <is>
          <t>bumbu</t>
        </is>
      </c>
      <c r="J25" t="inlineStr">
        <is>
          <t>-</t>
        </is>
      </c>
      <c r="K25" s="2" t="n">
        <v>88</v>
      </c>
      <c r="L25" s="2" t="n">
        <v>46</v>
      </c>
      <c r="M25" s="2" t="n">
        <v>1.5</v>
      </c>
      <c r="N25" s="2" t="n">
        <v>0.3</v>
      </c>
      <c r="O25" s="2" t="n">
        <v>9.199999999999999</v>
      </c>
      <c r="P25" s="2" t="n">
        <v>1.7</v>
      </c>
      <c r="Q25" s="2" t="n">
        <v>1</v>
      </c>
      <c r="R25" s="2" t="n">
        <v>36</v>
      </c>
      <c r="S25" s="2" t="n">
        <v>40</v>
      </c>
      <c r="T25" s="2" t="n">
        <v>0.8</v>
      </c>
      <c r="U25" s="2" t="n">
        <v>7</v>
      </c>
      <c r="V25" s="2" t="n">
        <v>178.6</v>
      </c>
      <c r="W25" s="2" t="n">
        <v>0.06</v>
      </c>
      <c r="X25" s="2" t="n">
        <v>0.2</v>
      </c>
      <c r="Y25" s="2" t="n"/>
      <c r="Z25" s="2" t="n">
        <v>2</v>
      </c>
      <c r="AA25" s="2" t="n"/>
      <c r="AB25" s="2" t="n">
        <v>0.03</v>
      </c>
      <c r="AC25" s="2" t="n">
        <v>0.04</v>
      </c>
      <c r="AD25" s="2" t="n">
        <v>0.2</v>
      </c>
      <c r="AE25" s="2" t="n">
        <v>2</v>
      </c>
      <c r="AF25" s="2" t="n">
        <v>90</v>
      </c>
      <c r="AG25" s="2" t="n"/>
    </row>
    <row r="26">
      <c r="A26" t="inlineStr">
        <is>
          <t>162</t>
        </is>
      </c>
      <c r="B26" t="inlineStr">
        <is>
          <t>Lontong/ketupat sayur</t>
        </is>
      </c>
      <c r="C26" t="inlineStr">
        <is>
          <t>no_match</t>
        </is>
      </c>
      <c r="D26" t="inlineStr">
        <is>
          <t>ingredient</t>
        </is>
      </c>
      <c r="E26" t="inlineStr">
        <is>
          <t>Bawang putih, segar</t>
        </is>
      </c>
      <c r="F26" s="2" t="n">
        <v>0.9</v>
      </c>
      <c r="G26" t="inlineStr">
        <is>
          <t>TKPI</t>
        </is>
      </c>
      <c r="H26" t="inlineStr">
        <is>
          <t>NR008</t>
        </is>
      </c>
      <c r="I26" t="inlineStr">
        <is>
          <t>bumbu</t>
        </is>
      </c>
      <c r="J26" t="inlineStr">
        <is>
          <t>-</t>
        </is>
      </c>
      <c r="K26" s="2" t="n">
        <v>71</v>
      </c>
      <c r="L26" s="2" t="n">
        <v>112</v>
      </c>
      <c r="M26" s="2" t="n">
        <v>4.5</v>
      </c>
      <c r="N26" s="2" t="n">
        <v>0.2</v>
      </c>
      <c r="O26" s="2" t="n">
        <v>23.1</v>
      </c>
      <c r="P26" s="2" t="n">
        <v>0.6</v>
      </c>
      <c r="Q26" s="2" t="n">
        <v>1.8</v>
      </c>
      <c r="R26" s="2" t="n">
        <v>42</v>
      </c>
      <c r="S26" s="2" t="n">
        <v>134</v>
      </c>
      <c r="T26" s="2" t="n">
        <v>1</v>
      </c>
      <c r="U26" s="2" t="n">
        <v>46</v>
      </c>
      <c r="V26" s="2" t="n">
        <v>665.7</v>
      </c>
      <c r="W26" s="2" t="n">
        <v>0.09</v>
      </c>
      <c r="X26" s="2" t="n">
        <v>0.4</v>
      </c>
      <c r="Y26" s="2" t="n"/>
      <c r="Z26" s="2" t="n">
        <v>0</v>
      </c>
      <c r="AA26" s="2" t="n"/>
      <c r="AB26" s="2" t="n">
        <v>0.22</v>
      </c>
      <c r="AC26" s="2" t="n">
        <v>0.07000000000000001</v>
      </c>
      <c r="AD26" s="2" t="n">
        <v>0.3</v>
      </c>
      <c r="AE26" s="2" t="n">
        <v>15</v>
      </c>
      <c r="AF26" s="2" t="n">
        <v>88</v>
      </c>
      <c r="AG26" s="2" t="n"/>
    </row>
    <row r="27">
      <c r="A27" t="inlineStr">
        <is>
          <t>162</t>
        </is>
      </c>
      <c r="B27" t="inlineStr">
        <is>
          <t>Lontong/ketupat sayur</t>
        </is>
      </c>
      <c r="C27" t="inlineStr">
        <is>
          <t>no_match</t>
        </is>
      </c>
      <c r="D27" t="inlineStr">
        <is>
          <t>ingredient</t>
        </is>
      </c>
      <c r="E27" t="inlineStr">
        <is>
          <t>Cabai merah, segar</t>
        </is>
      </c>
      <c r="F27" s="2" t="n">
        <v>0.9</v>
      </c>
      <c r="G27" t="inlineStr">
        <is>
          <t>TKPI</t>
        </is>
      </c>
      <c r="H27" t="inlineStr">
        <is>
          <t>NR014</t>
        </is>
      </c>
      <c r="I27" t="inlineStr">
        <is>
          <t>bumbu</t>
        </is>
      </c>
      <c r="J27" t="inlineStr">
        <is>
          <t>-</t>
        </is>
      </c>
      <c r="K27" s="2" t="n">
        <v>90.90000000000001</v>
      </c>
      <c r="L27" s="2" t="n">
        <v>36</v>
      </c>
      <c r="M27" s="2" t="n">
        <v>1</v>
      </c>
      <c r="N27" s="2" t="n">
        <v>0.3</v>
      </c>
      <c r="O27" s="2" t="n">
        <v>7.3</v>
      </c>
      <c r="P27" s="2" t="n">
        <v>1.4</v>
      </c>
      <c r="Q27" s="2" t="n">
        <v>0.5</v>
      </c>
      <c r="R27" s="2" t="n">
        <v>29</v>
      </c>
      <c r="S27" s="2" t="n">
        <v>24</v>
      </c>
      <c r="T27" s="2" t="n">
        <v>0.5</v>
      </c>
      <c r="U27" s="2" t="n">
        <v>23</v>
      </c>
      <c r="V27" s="2" t="n">
        <v>272.4</v>
      </c>
      <c r="W27" s="2" t="n">
        <v>0.12</v>
      </c>
      <c r="X27" s="2" t="n">
        <v>0.2</v>
      </c>
      <c r="Y27" s="2" t="n"/>
      <c r="Z27" s="2" t="n">
        <v>5833</v>
      </c>
      <c r="AA27" s="2" t="n">
        <v>470</v>
      </c>
      <c r="AB27" s="2" t="n">
        <v>0.05</v>
      </c>
      <c r="AC27" s="2" t="n">
        <v>0.09</v>
      </c>
      <c r="AD27" s="2" t="n">
        <v>3</v>
      </c>
      <c r="AE27" s="2" t="n">
        <v>18</v>
      </c>
      <c r="AF27" s="2" t="n">
        <v>85</v>
      </c>
      <c r="AG27" s="2" t="n"/>
    </row>
    <row r="28">
      <c r="A28" t="inlineStr">
        <is>
          <t>162</t>
        </is>
      </c>
      <c r="B28" t="inlineStr">
        <is>
          <t>Lontong/ketupat sayur</t>
        </is>
      </c>
      <c r="C28" t="inlineStr">
        <is>
          <t>no_match</t>
        </is>
      </c>
      <c r="D28" t="inlineStr">
        <is>
          <t>ingredient</t>
        </is>
      </c>
      <c r="E28" t="inlineStr">
        <is>
          <t>Kemiri</t>
        </is>
      </c>
      <c r="F28" s="2" t="n">
        <v>1.35</v>
      </c>
      <c r="G28" t="inlineStr">
        <is>
          <t>TKPI</t>
        </is>
      </c>
      <c r="H28" t="inlineStr">
        <is>
          <t>NR019</t>
        </is>
      </c>
      <c r="I28" t="inlineStr">
        <is>
          <t>bumbu</t>
        </is>
      </c>
      <c r="J28" t="inlineStr">
        <is>
          <t>-</t>
        </is>
      </c>
      <c r="K28" s="2" t="n">
        <v>7</v>
      </c>
      <c r="L28" s="2" t="n">
        <v>675</v>
      </c>
      <c r="M28" s="2" t="n">
        <v>19</v>
      </c>
      <c r="N28" s="2" t="n">
        <v>63</v>
      </c>
      <c r="O28" s="2" t="n">
        <v>8</v>
      </c>
      <c r="P28" s="2" t="n">
        <v>3</v>
      </c>
      <c r="Q28" s="2" t="n">
        <v>3</v>
      </c>
      <c r="R28" s="2" t="n">
        <v>80</v>
      </c>
      <c r="S28" s="2" t="n">
        <v>200</v>
      </c>
      <c r="T28" s="2" t="n">
        <v>2</v>
      </c>
      <c r="U28" s="2" t="n">
        <v>25</v>
      </c>
      <c r="V28" s="2" t="n">
        <v>430.7</v>
      </c>
      <c r="W28" s="2" t="n">
        <v>0.23</v>
      </c>
      <c r="X28" s="2" t="n">
        <v>0.8</v>
      </c>
      <c r="Y28" s="2" t="n"/>
      <c r="Z28" s="2" t="n">
        <v>0</v>
      </c>
      <c r="AA28" s="2" t="n">
        <v>0</v>
      </c>
      <c r="AB28" s="2" t="n">
        <v>0.06</v>
      </c>
      <c r="AC28" s="2" t="n">
        <v>0.06</v>
      </c>
      <c r="AD28" s="2" t="n">
        <v>0.4</v>
      </c>
      <c r="AE28" s="2" t="n">
        <v>0</v>
      </c>
      <c r="AF28" s="2" t="n">
        <v>100</v>
      </c>
      <c r="AG28" s="2" t="n"/>
    </row>
    <row r="29">
      <c r="A29" t="inlineStr">
        <is>
          <t>162</t>
        </is>
      </c>
      <c r="B29" t="inlineStr">
        <is>
          <t>Lontong/ketupat sayur</t>
        </is>
      </c>
      <c r="C29" t="inlineStr">
        <is>
          <t>no_match</t>
        </is>
      </c>
      <c r="D29" t="inlineStr">
        <is>
          <t>ingredient</t>
        </is>
      </c>
      <c r="E29" t="inlineStr">
        <is>
          <t>Kunyit, segar</t>
        </is>
      </c>
      <c r="F29" s="2" t="n">
        <v>0.27</v>
      </c>
      <c r="G29" t="inlineStr">
        <is>
          <t>TKPI</t>
        </is>
      </c>
      <c r="H29" t="inlineStr">
        <is>
          <t>NR022</t>
        </is>
      </c>
      <c r="I29" t="inlineStr">
        <is>
          <t>bumbu</t>
        </is>
      </c>
      <c r="J29" t="inlineStr">
        <is>
          <t>-</t>
        </is>
      </c>
      <c r="K29" s="2" t="n">
        <v>84.90000000000001</v>
      </c>
      <c r="L29" s="2" t="n">
        <v>69</v>
      </c>
      <c r="M29" s="2" t="n">
        <v>2</v>
      </c>
      <c r="N29" s="2" t="n">
        <v>2.7</v>
      </c>
      <c r="O29" s="2" t="n">
        <v>9.1</v>
      </c>
      <c r="P29" s="2" t="n">
        <v>0.6</v>
      </c>
      <c r="Q29" s="2" t="n">
        <v>1.3</v>
      </c>
      <c r="R29" s="2" t="n">
        <v>24</v>
      </c>
      <c r="S29" s="2" t="n">
        <v>78</v>
      </c>
      <c r="T29" s="2" t="n">
        <v>3.3</v>
      </c>
      <c r="U29" s="2" t="n">
        <v>6</v>
      </c>
      <c r="V29" s="2" t="n">
        <v>406.7</v>
      </c>
      <c r="W29" s="2" t="n">
        <v>0.05</v>
      </c>
      <c r="X29" s="2" t="n">
        <v>0.4</v>
      </c>
      <c r="Y29" s="2" t="n"/>
      <c r="Z29" s="2" t="n">
        <v>12</v>
      </c>
      <c r="AA29" s="2" t="n"/>
      <c r="AB29" s="2" t="n">
        <v>0.03</v>
      </c>
      <c r="AC29" s="2" t="n">
        <v>0.02</v>
      </c>
      <c r="AD29" s="2" t="n">
        <v>0.4</v>
      </c>
      <c r="AE29" s="2" t="n">
        <v>1</v>
      </c>
      <c r="AF29" s="2" t="n">
        <v>78</v>
      </c>
      <c r="AG29" s="2" t="n"/>
    </row>
    <row r="30">
      <c r="A30" t="inlineStr">
        <is>
          <t>162</t>
        </is>
      </c>
      <c r="B30" t="inlineStr">
        <is>
          <t>Lontong/ketupat sayur</t>
        </is>
      </c>
      <c r="C30" t="inlineStr">
        <is>
          <t>no_match</t>
        </is>
      </c>
      <c r="D30" t="inlineStr">
        <is>
          <t>ingredient</t>
        </is>
      </c>
      <c r="E30" t="inlineStr">
        <is>
          <t>Lengkuas, segar</t>
        </is>
      </c>
      <c r="F30" s="2" t="n">
        <v>0.27</v>
      </c>
      <c r="G30" t="inlineStr">
        <is>
          <t>TKPI</t>
        </is>
      </c>
      <c r="H30" t="inlineStr">
        <is>
          <t>NR010</t>
        </is>
      </c>
      <c r="I30" t="inlineStr">
        <is>
          <t>bumbu</t>
        </is>
      </c>
      <c r="J30" t="inlineStr">
        <is>
          <t>-</t>
        </is>
      </c>
      <c r="K30" s="2" t="n">
        <v>93</v>
      </c>
      <c r="L30" s="2" t="n">
        <v>26</v>
      </c>
      <c r="M30" s="2" t="n">
        <v>1</v>
      </c>
      <c r="N30" s="2" t="n">
        <v>0.3</v>
      </c>
      <c r="O30" s="2" t="n">
        <v>4.7</v>
      </c>
      <c r="P30" s="2" t="n">
        <v>1.1</v>
      </c>
      <c r="Q30" s="2" t="n">
        <v>1</v>
      </c>
      <c r="R30" s="2" t="n">
        <v>50</v>
      </c>
      <c r="S30" s="2" t="n">
        <v>50</v>
      </c>
      <c r="T30" s="2" t="n">
        <v>2</v>
      </c>
      <c r="U30" s="2" t="n">
        <v>24</v>
      </c>
      <c r="V30" s="2" t="n">
        <v>137.1</v>
      </c>
      <c r="W30" s="2" t="n">
        <v>0.07000000000000001</v>
      </c>
      <c r="X30" s="2" t="n">
        <v>0.3</v>
      </c>
      <c r="Y30" s="2" t="n"/>
      <c r="Z30" s="2" t="n">
        <v>5</v>
      </c>
      <c r="AA30" s="2" t="n">
        <v>5000</v>
      </c>
      <c r="AB30" s="2" t="n">
        <v>0.08</v>
      </c>
      <c r="AC30" s="2" t="n">
        <v>0.06</v>
      </c>
      <c r="AD30" s="2" t="n">
        <v>0.3</v>
      </c>
      <c r="AE30" s="2" t="n">
        <v>50</v>
      </c>
      <c r="AF30" s="2" t="n">
        <v>80</v>
      </c>
      <c r="AG30" s="2" t="n"/>
    </row>
    <row r="31">
      <c r="A31" t="inlineStr">
        <is>
          <t>162</t>
        </is>
      </c>
      <c r="B31" t="inlineStr">
        <is>
          <t>Lontong/ketupat sayur</t>
        </is>
      </c>
      <c r="C31" t="inlineStr">
        <is>
          <t>no_match</t>
        </is>
      </c>
      <c r="D31" t="inlineStr">
        <is>
          <t>ingredient</t>
        </is>
      </c>
      <c r="E31" t="inlineStr">
        <is>
          <t>Garam (iodized salt)</t>
        </is>
      </c>
      <c r="F31" s="2" t="n">
        <v>0.36</v>
      </c>
      <c r="G31" t="inlineStr">
        <is>
          <t>USDA</t>
        </is>
      </c>
      <c r="H31" t="inlineStr">
        <is>
          <t>746775</t>
        </is>
      </c>
      <c r="J31" t="inlineStr">
        <is>
          <t>https://fdc.nal.usda.gov/food-details/746775/nutrients</t>
        </is>
      </c>
      <c r="K31" s="2" t="n">
        <v>0.42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99</v>
      </c>
      <c r="R31" s="2" t="n">
        <v>50</v>
      </c>
      <c r="S31" s="2" t="n">
        <v>0</v>
      </c>
      <c r="T31" s="2" t="n">
        <v>0</v>
      </c>
      <c r="U31" s="2" t="n">
        <v>38700</v>
      </c>
      <c r="V31" s="2" t="n">
        <v>2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100</v>
      </c>
      <c r="AG31" s="2" t="n"/>
    </row>
    <row r="32">
      <c r="A32" t="inlineStr">
        <is>
          <t>162</t>
        </is>
      </c>
      <c r="B32" t="inlineStr">
        <is>
          <t>Lontong/ketupat sayur</t>
        </is>
      </c>
      <c r="C32" t="inlineStr">
        <is>
          <t>no_match</t>
        </is>
      </c>
      <c r="D32" t="inlineStr">
        <is>
          <t>ingredient</t>
        </is>
      </c>
      <c r="E32" t="inlineStr">
        <is>
          <t>Air (soup water)</t>
        </is>
      </c>
      <c r="F32" s="2" t="n">
        <v>8.550000000000001</v>
      </c>
      <c r="G32" t="inlineStr">
        <is>
          <t>water</t>
        </is>
      </c>
      <c r="H32" t="inlineStr">
        <is>
          <t>-</t>
        </is>
      </c>
      <c r="I32" t="inlineStr">
        <is>
          <t>mineral water, composition as item 175</t>
        </is>
      </c>
      <c r="J32" t="inlineStr">
        <is>
          <t>-</t>
        </is>
      </c>
      <c r="K32" s="2" t="n">
        <v>100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0.914</v>
      </c>
      <c r="S32" s="2" t="n">
        <v>0</v>
      </c>
      <c r="T32" s="2" t="n">
        <v>0</v>
      </c>
      <c r="U32" s="2" t="n">
        <v>3.5</v>
      </c>
      <c r="V32" s="2" t="n">
        <v>0.3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100</v>
      </c>
      <c r="AG32" s="2" t="n">
        <v>0</v>
      </c>
    </row>
    <row r="33">
      <c r="A33" s="3" t="inlineStr">
        <is>
          <t>162</t>
        </is>
      </c>
      <c r="B33" s="3" t="inlineStr">
        <is>
          <t>Lontong/ketupat sayur</t>
        </is>
      </c>
      <c r="C33" s="3" t="inlineStr">
        <is>
          <t>no_match</t>
        </is>
      </c>
      <c r="D33" s="3" t="inlineStr">
        <is>
          <t>average</t>
        </is>
      </c>
      <c r="E33" s="3" t="inlineStr">
        <is>
          <t>Lontong/ketupat sayur, per 100 g</t>
        </is>
      </c>
      <c r="F33" s="4">
        <f>SUM(F18:F32)</f>
        <v/>
      </c>
      <c r="G33" s="3" t="inlineStr">
        <is>
          <t>calculated</t>
        </is>
      </c>
      <c r="H33" s="3" t="inlineStr">
        <is>
          <t>-</t>
        </is>
      </c>
      <c r="I33" s="3" t="inlineStr">
        <is>
          <t>weighted average; ingredients missing a nutrient count as zero (values are minimums where a source is incomplete); blank = no ingredient reports it</t>
        </is>
      </c>
      <c r="J33" s="3" t="inlineStr">
        <is>
          <t>-</t>
        </is>
      </c>
      <c r="K33" s="4">
        <f>IF(COUNT(K18:K32)=0,"",SUMPRODUCT($F18:$F32/100,K18:K32))</f>
        <v/>
      </c>
      <c r="L33" s="4">
        <f>IF(COUNT(L18:L32)=0,"",SUMPRODUCT($F18:$F32/100,L18:L32))</f>
        <v/>
      </c>
      <c r="M33" s="4">
        <f>IF(COUNT(M18:M32)=0,"",SUMPRODUCT($F18:$F32/100,M18:M32))</f>
        <v/>
      </c>
      <c r="N33" s="4">
        <f>IF(COUNT(N18:N32)=0,"",SUMPRODUCT($F18:$F32/100,N18:N32))</f>
        <v/>
      </c>
      <c r="O33" s="4">
        <f>IF(COUNT(O18:O32)=0,"",SUMPRODUCT($F18:$F32/100,O18:O32))</f>
        <v/>
      </c>
      <c r="P33" s="4">
        <f>IF(COUNT(P18:P32)=0,"",SUMPRODUCT($F18:$F32/100,P18:P32))</f>
        <v/>
      </c>
      <c r="Q33" s="4">
        <f>IF(COUNT(Q18:Q32)=0,"",SUMPRODUCT($F18:$F32/100,Q18:Q32))</f>
        <v/>
      </c>
      <c r="R33" s="4">
        <f>IF(COUNT(R18:R32)=0,"",SUMPRODUCT($F18:$F32/100,R18:R32))</f>
        <v/>
      </c>
      <c r="S33" s="4">
        <f>IF(COUNT(S18:S32)=0,"",SUMPRODUCT($F18:$F32/100,S18:S32))</f>
        <v/>
      </c>
      <c r="T33" s="4">
        <f>IF(COUNT(T18:T32)=0,"",SUMPRODUCT($F18:$F32/100,T18:T32))</f>
        <v/>
      </c>
      <c r="U33" s="4">
        <f>IF(COUNT(U18:U32)=0,"",SUMPRODUCT($F18:$F32/100,U18:U32))</f>
        <v/>
      </c>
      <c r="V33" s="4">
        <f>IF(COUNT(V18:V32)=0,"",SUMPRODUCT($F18:$F32/100,V18:V32))</f>
        <v/>
      </c>
      <c r="W33" s="4">
        <f>IF(COUNT(W18:W32)=0,"",SUMPRODUCT($F18:$F32/100,W18:W32))</f>
        <v/>
      </c>
      <c r="X33" s="4">
        <f>IF(COUNT(X18:X32)=0,"",SUMPRODUCT($F18:$F32/100,X18:X32))</f>
        <v/>
      </c>
      <c r="Y33" s="4">
        <f>IF(COUNT(Y18:Y32)=0,"",SUMPRODUCT($F18:$F32/100,Y18:Y32))</f>
        <v/>
      </c>
      <c r="Z33" s="4">
        <f>IF(COUNT(Z18:Z32)=0,"",SUMPRODUCT($F18:$F32/100,Z18:Z32))</f>
        <v/>
      </c>
      <c r="AA33" s="4">
        <f>IF(COUNT(AA18:AA32)=0,"",SUMPRODUCT($F18:$F32/100,AA18:AA32))</f>
        <v/>
      </c>
      <c r="AB33" s="4">
        <f>IF(COUNT(AB18:AB32)=0,"",SUMPRODUCT($F18:$F32/100,AB18:AB32))</f>
        <v/>
      </c>
      <c r="AC33" s="4">
        <f>IF(COUNT(AC18:AC32)=0,"",SUMPRODUCT($F18:$F32/100,AC18:AC32))</f>
        <v/>
      </c>
      <c r="AD33" s="4">
        <f>IF(COUNT(AD18:AD32)=0,"",SUMPRODUCT($F18:$F32/100,AD18:AD32))</f>
        <v/>
      </c>
      <c r="AE33" s="4">
        <f>IF(COUNT(AE18:AE32)=0,"",SUMPRODUCT($F18:$F32/100,AE18:AE32))</f>
        <v/>
      </c>
      <c r="AF33" s="4">
        <f>IF(COUNT(AF18:AF32)=0,"",SUMPRODUCT($F18:$F32/100,AF18:AF32))</f>
        <v/>
      </c>
      <c r="AG33" s="4" t="n">
        <v>1</v>
      </c>
    </row>
    <row r="34">
      <c r="A34" t="inlineStr">
        <is>
          <t>165</t>
        </is>
      </c>
      <c r="B34" t="inlineStr">
        <is>
          <t>Sate, tongseng</t>
        </is>
      </c>
      <c r="C34" t="inlineStr">
        <is>
          <t>tkpi_partial</t>
        </is>
      </c>
      <c r="D34" t="inlineStr">
        <is>
          <t>ingredient</t>
        </is>
      </c>
      <c r="E34" t="inlineStr">
        <is>
          <t>Chicken satay (MyFCD)</t>
        </is>
      </c>
      <c r="F34" s="2" t="n">
        <v>16.66666666666667</v>
      </c>
      <c r="G34" t="inlineStr">
        <is>
          <t>MyFCD</t>
        </is>
      </c>
      <c r="H34" t="inlineStr">
        <is>
          <t>222016</t>
        </is>
      </c>
      <c r="I34" t="inlineStr">
        <is>
          <t>the three satays average to the sate half</t>
        </is>
      </c>
      <c r="J34" t="inlineStr">
        <is>
          <t>https://myfcd.moh.gov.my/myfcd97/index.php/site/detail_product/222016/0/10/-1/0/0/</t>
        </is>
      </c>
      <c r="K34" s="2" t="n">
        <v>52.5</v>
      </c>
      <c r="L34" s="2" t="n">
        <v>243</v>
      </c>
      <c r="M34" s="2" t="n">
        <v>18.9</v>
      </c>
      <c r="N34" s="2" t="n">
        <v>12.9</v>
      </c>
      <c r="O34" s="2" t="n">
        <v>12.7</v>
      </c>
      <c r="P34" s="2" t="n">
        <v>1.9</v>
      </c>
      <c r="Q34" s="2" t="n">
        <v>1.1</v>
      </c>
      <c r="R34" s="2" t="n">
        <v>29</v>
      </c>
      <c r="S34" s="2" t="n">
        <v>335</v>
      </c>
      <c r="T34" s="2" t="n">
        <v>2.9</v>
      </c>
      <c r="U34" s="2" t="n">
        <v>135</v>
      </c>
      <c r="V34" s="2" t="n">
        <v>221</v>
      </c>
      <c r="W34" s="2" t="n"/>
      <c r="X34" s="2" t="n"/>
      <c r="Y34" s="2" t="n">
        <v>84</v>
      </c>
      <c r="Z34" s="2" t="n"/>
      <c r="AA34" s="2" t="n">
        <v>0</v>
      </c>
      <c r="AB34" s="2" t="n">
        <v>0.03</v>
      </c>
      <c r="AC34" s="2" t="n">
        <v>0.12</v>
      </c>
      <c r="AD34" s="2" t="n">
        <v>6.7</v>
      </c>
      <c r="AE34" s="2" t="n">
        <v>0</v>
      </c>
      <c r="AF34" s="2" t="n">
        <v>100</v>
      </c>
      <c r="AG34" s="2" t="n"/>
    </row>
    <row r="35">
      <c r="A35" t="inlineStr">
        <is>
          <t>165</t>
        </is>
      </c>
      <c r="B35" t="inlineStr">
        <is>
          <t>Sate, tongseng</t>
        </is>
      </c>
      <c r="C35" t="inlineStr">
        <is>
          <t>tkpi_partial</t>
        </is>
      </c>
      <c r="D35" t="inlineStr">
        <is>
          <t>ingredient</t>
        </is>
      </c>
      <c r="E35" t="inlineStr">
        <is>
          <t>Beef satay (MyFCD)</t>
        </is>
      </c>
      <c r="F35" s="2" t="n">
        <v>16.66666666666667</v>
      </c>
      <c r="G35" t="inlineStr">
        <is>
          <t>MyFCD</t>
        </is>
      </c>
      <c r="H35" t="inlineStr">
        <is>
          <t>222006</t>
        </is>
      </c>
      <c r="J35" t="inlineStr">
        <is>
          <t>https://myfcd.moh.gov.my/myfcd97/index.php/site/detail_product/222006/0/10/-1/0/0/</t>
        </is>
      </c>
      <c r="K35" s="2" t="n">
        <v>46.7</v>
      </c>
      <c r="L35" s="2" t="n">
        <v>240</v>
      </c>
      <c r="M35" s="2" t="n">
        <v>20.4</v>
      </c>
      <c r="N35" s="2" t="n">
        <v>7.8</v>
      </c>
      <c r="O35" s="2" t="n">
        <v>22.1</v>
      </c>
      <c r="P35" s="2" t="n">
        <v>0.3</v>
      </c>
      <c r="Q35" s="2" t="n">
        <v>2.7</v>
      </c>
      <c r="R35" s="2" t="n">
        <v>17</v>
      </c>
      <c r="S35" s="2" t="n">
        <v>462</v>
      </c>
      <c r="T35" s="2" t="n">
        <v>3.9</v>
      </c>
      <c r="U35" s="2" t="n">
        <v>92</v>
      </c>
      <c r="V35" s="2" t="n">
        <v>202</v>
      </c>
      <c r="W35" s="2" t="n"/>
      <c r="X35" s="2" t="n"/>
      <c r="Y35" s="2" t="n">
        <v>72</v>
      </c>
      <c r="Z35" s="2" t="n"/>
      <c r="AA35" s="2" t="n">
        <v>0</v>
      </c>
      <c r="AB35" s="2" t="n">
        <v>0.13</v>
      </c>
      <c r="AC35" s="2" t="n">
        <v>0.22</v>
      </c>
      <c r="AD35" s="2" t="n">
        <v>5.3</v>
      </c>
      <c r="AE35" s="2" t="n">
        <v>0</v>
      </c>
      <c r="AF35" s="2" t="n">
        <v>100</v>
      </c>
      <c r="AG35" s="2" t="n"/>
    </row>
    <row r="36">
      <c r="A36" t="inlineStr">
        <is>
          <t>165</t>
        </is>
      </c>
      <c r="B36" t="inlineStr">
        <is>
          <t>Sate, tongseng</t>
        </is>
      </c>
      <c r="C36" t="inlineStr">
        <is>
          <t>tkpi_partial</t>
        </is>
      </c>
      <c r="D36" t="inlineStr">
        <is>
          <t>ingredient</t>
        </is>
      </c>
      <c r="E36" t="inlineStr">
        <is>
          <t>Mutton satay (MyFCD)</t>
        </is>
      </c>
      <c r="F36" s="2" t="n">
        <v>16.66666666666667</v>
      </c>
      <c r="G36" t="inlineStr">
        <is>
          <t>MyFCD</t>
        </is>
      </c>
      <c r="H36" t="inlineStr">
        <is>
          <t>236003</t>
        </is>
      </c>
      <c r="J36" t="inlineStr">
        <is>
          <t>https://myfcd.moh.gov.my/myfcd97/index.php/site/detail_product/236003/0/10/-1/0/0/</t>
        </is>
      </c>
      <c r="K36" s="2" t="n">
        <v>53.1</v>
      </c>
      <c r="L36" s="2" t="n">
        <v>211</v>
      </c>
      <c r="M36" s="2" t="n">
        <v>41.7</v>
      </c>
      <c r="N36" s="2" t="n">
        <v>4.9</v>
      </c>
      <c r="O36" s="2" t="n">
        <v>0</v>
      </c>
      <c r="P36" s="2" t="n">
        <v>0</v>
      </c>
      <c r="Q36" s="2" t="n">
        <v>1.6</v>
      </c>
      <c r="R36" s="2" t="n">
        <v>44</v>
      </c>
      <c r="S36" s="2" t="n">
        <v>412</v>
      </c>
      <c r="T36" s="2" t="n">
        <v>2.7</v>
      </c>
      <c r="U36" s="2" t="n">
        <v>113</v>
      </c>
      <c r="V36" s="2" t="n">
        <v>234</v>
      </c>
      <c r="W36" s="2" t="n"/>
      <c r="X36" s="2" t="n"/>
      <c r="Y36" s="2" t="n">
        <v>5</v>
      </c>
      <c r="Z36" s="2" t="n"/>
      <c r="AA36" s="2" t="n">
        <v>14</v>
      </c>
      <c r="AB36" s="2" t="n">
        <v>0.13</v>
      </c>
      <c r="AC36" s="2" t="n">
        <v>0.19</v>
      </c>
      <c r="AD36" s="2" t="n">
        <v>5.5</v>
      </c>
      <c r="AE36" s="2" t="n">
        <v>0.5</v>
      </c>
      <c r="AF36" s="2" t="n">
        <v>100</v>
      </c>
      <c r="AG36" s="2" t="n"/>
    </row>
    <row r="37">
      <c r="A37" t="inlineStr">
        <is>
          <t>165</t>
        </is>
      </c>
      <c r="B37" t="inlineStr">
        <is>
          <t>Sate, tongseng</t>
        </is>
      </c>
      <c r="C37" t="inlineStr">
        <is>
          <t>tkpi_partial</t>
        </is>
      </c>
      <c r="D37" t="inlineStr">
        <is>
          <t>ingredient</t>
        </is>
      </c>
      <c r="E37" t="inlineStr">
        <is>
          <t>Tongseng: Kambing, daging, segar</t>
        </is>
      </c>
      <c r="F37" s="2" t="n">
        <v>15</v>
      </c>
      <c r="G37" t="inlineStr">
        <is>
          <t>TKPI</t>
        </is>
      </c>
      <c r="H37" t="inlineStr">
        <is>
          <t>FR019</t>
        </is>
      </c>
      <c r="J37" t="inlineStr">
        <is>
          <t>-</t>
        </is>
      </c>
      <c r="K37" s="2" t="n">
        <v>70.3</v>
      </c>
      <c r="L37" s="2" t="n">
        <v>149</v>
      </c>
      <c r="M37" s="2" t="n">
        <v>16.6</v>
      </c>
      <c r="N37" s="2" t="n">
        <v>9.199999999999999</v>
      </c>
      <c r="O37" s="2" t="n">
        <v>0</v>
      </c>
      <c r="P37" s="2" t="n">
        <v>0</v>
      </c>
      <c r="Q37" s="2" t="n">
        <v>3.9</v>
      </c>
      <c r="R37" s="2" t="n">
        <v>11</v>
      </c>
      <c r="S37" s="2" t="n">
        <v>124</v>
      </c>
      <c r="T37" s="2" t="n">
        <v>1</v>
      </c>
      <c r="U37" s="2" t="n">
        <v>96</v>
      </c>
      <c r="V37" s="2" t="n">
        <v>268.7</v>
      </c>
      <c r="W37" s="2" t="n">
        <v>0.31</v>
      </c>
      <c r="X37" s="2" t="n">
        <v>4.9</v>
      </c>
      <c r="Y37" s="2" t="n">
        <v>0</v>
      </c>
      <c r="Z37" s="2" t="n">
        <v>0</v>
      </c>
      <c r="AA37" s="2" t="n"/>
      <c r="AB37" s="2" t="n">
        <v>0.09</v>
      </c>
      <c r="AC37" s="2" t="n">
        <v>0.23</v>
      </c>
      <c r="AD37" s="2" t="n">
        <v>5</v>
      </c>
      <c r="AE37" s="2" t="n">
        <v>0</v>
      </c>
      <c r="AF37" s="2" t="n">
        <v>100</v>
      </c>
      <c r="AG37" s="2" t="n"/>
    </row>
    <row r="38">
      <c r="A38" t="inlineStr">
        <is>
          <t>165</t>
        </is>
      </c>
      <c r="B38" t="inlineStr">
        <is>
          <t>Sate, tongseng</t>
        </is>
      </c>
      <c r="C38" t="inlineStr">
        <is>
          <t>tkpi_partial</t>
        </is>
      </c>
      <c r="D38" t="inlineStr">
        <is>
          <t>ingredient</t>
        </is>
      </c>
      <c r="E38" t="inlineStr">
        <is>
          <t>Tongseng: Daun kubis, segar</t>
        </is>
      </c>
      <c r="F38" s="2" t="n">
        <v>5</v>
      </c>
      <c r="G38" t="inlineStr">
        <is>
          <t>TKPI</t>
        </is>
      </c>
      <c r="H38" t="inlineStr">
        <is>
          <t>DR044</t>
        </is>
      </c>
      <c r="J38" t="inlineStr">
        <is>
          <t>-</t>
        </is>
      </c>
      <c r="K38" s="2" t="n">
        <v>86.2</v>
      </c>
      <c r="L38" s="2" t="n">
        <v>51</v>
      </c>
      <c r="M38" s="2" t="n">
        <v>2.5</v>
      </c>
      <c r="N38" s="2" t="n">
        <v>1.1</v>
      </c>
      <c r="O38" s="2" t="n">
        <v>8</v>
      </c>
      <c r="P38" s="2" t="n">
        <v>3.4</v>
      </c>
      <c r="Q38" s="2" t="n">
        <v>2.2</v>
      </c>
      <c r="R38" s="2" t="n">
        <v>100</v>
      </c>
      <c r="S38" s="2" t="n">
        <v>50</v>
      </c>
      <c r="T38" s="2" t="n">
        <v>3.4</v>
      </c>
      <c r="U38" s="2" t="n">
        <v>50</v>
      </c>
      <c r="V38" s="2" t="n">
        <v>100</v>
      </c>
      <c r="W38" s="2" t="n">
        <v>0.9</v>
      </c>
      <c r="X38" s="2" t="n">
        <v>0.6</v>
      </c>
      <c r="Y38" s="2" t="n"/>
      <c r="Z38" s="2" t="n">
        <v>9999</v>
      </c>
      <c r="AA38" s="2" t="n"/>
      <c r="AB38" s="2" t="n">
        <v>0.4</v>
      </c>
      <c r="AC38" s="2" t="n">
        <v>0.1</v>
      </c>
      <c r="AD38" s="2" t="n">
        <v>0.2</v>
      </c>
      <c r="AE38" s="2" t="n">
        <v>16</v>
      </c>
      <c r="AF38" s="2" t="n">
        <v>75</v>
      </c>
      <c r="AG38" s="2" t="n"/>
    </row>
    <row r="39">
      <c r="A39" t="inlineStr">
        <is>
          <t>165</t>
        </is>
      </c>
      <c r="B39" t="inlineStr">
        <is>
          <t>Sate, tongseng</t>
        </is>
      </c>
      <c r="C39" t="inlineStr">
        <is>
          <t>tkpi_partial</t>
        </is>
      </c>
      <c r="D39" t="inlineStr">
        <is>
          <t>ingredient</t>
        </is>
      </c>
      <c r="E39" t="inlineStr">
        <is>
          <t>Tongseng: Tomat merah, segar</t>
        </is>
      </c>
      <c r="F39" s="2" t="n">
        <v>2.5</v>
      </c>
      <c r="G39" t="inlineStr">
        <is>
          <t>TKPI</t>
        </is>
      </c>
      <c r="H39" t="inlineStr">
        <is>
          <t>DR161</t>
        </is>
      </c>
      <c r="J39" t="inlineStr">
        <is>
          <t>-</t>
        </is>
      </c>
      <c r="K39" s="2" t="n">
        <v>92.90000000000001</v>
      </c>
      <c r="L39" s="2" t="n">
        <v>24</v>
      </c>
      <c r="M39" s="2" t="n">
        <v>1.3</v>
      </c>
      <c r="N39" s="2" t="n">
        <v>0.5</v>
      </c>
      <c r="O39" s="2" t="n">
        <v>4.7</v>
      </c>
      <c r="P39" s="2" t="n">
        <v>1.5</v>
      </c>
      <c r="Q39" s="2" t="n">
        <v>0.6</v>
      </c>
      <c r="R39" s="2" t="n">
        <v>8</v>
      </c>
      <c r="S39" s="2" t="n">
        <v>77</v>
      </c>
      <c r="T39" s="2" t="n">
        <v>0.6</v>
      </c>
      <c r="U39" s="2" t="n">
        <v>9.800000000000001</v>
      </c>
      <c r="V39" s="2" t="n">
        <v>164.9</v>
      </c>
      <c r="W39" s="2" t="n">
        <v>0.14</v>
      </c>
      <c r="X39" s="2" t="n">
        <v>0.2</v>
      </c>
      <c r="Y39" s="2" t="n"/>
      <c r="Z39" s="2" t="n">
        <v>575</v>
      </c>
      <c r="AA39" s="2" t="n">
        <v>2083</v>
      </c>
      <c r="AB39" s="2" t="n">
        <v>0.06</v>
      </c>
      <c r="AC39" s="2" t="n">
        <v>0.07000000000000001</v>
      </c>
      <c r="AD39" s="2" t="n">
        <v>0.4</v>
      </c>
      <c r="AE39" s="2" t="n">
        <v>34</v>
      </c>
      <c r="AF39" s="2" t="n">
        <v>100</v>
      </c>
      <c r="AG39" s="2" t="n"/>
    </row>
    <row r="40">
      <c r="A40" t="inlineStr">
        <is>
          <t>165</t>
        </is>
      </c>
      <c r="B40" t="inlineStr">
        <is>
          <t>Sate, tongseng</t>
        </is>
      </c>
      <c r="C40" t="inlineStr">
        <is>
          <t>tkpi_partial</t>
        </is>
      </c>
      <c r="D40" t="inlineStr">
        <is>
          <t>ingredient</t>
        </is>
      </c>
      <c r="E40" t="inlineStr">
        <is>
          <t>Tongseng: Santan (dengan air)</t>
        </is>
      </c>
      <c r="F40" s="2" t="n">
        <v>7.5</v>
      </c>
      <c r="G40" t="inlineStr">
        <is>
          <t>TKPI</t>
        </is>
      </c>
      <c r="H40" t="inlineStr">
        <is>
          <t>KP003</t>
        </is>
      </c>
      <c r="J40" t="inlineStr">
        <is>
          <t>-</t>
        </is>
      </c>
      <c r="K40" s="2" t="n">
        <v>80</v>
      </c>
      <c r="L40" s="2" t="n">
        <v>122</v>
      </c>
      <c r="M40" s="2" t="n">
        <v>2</v>
      </c>
      <c r="N40" s="2" t="n">
        <v>10</v>
      </c>
      <c r="O40" s="2" t="n">
        <v>7.6</v>
      </c>
      <c r="P40" s="2" t="n">
        <v>1.4</v>
      </c>
      <c r="Q40" s="2" t="n">
        <v>0.4</v>
      </c>
      <c r="R40" s="2" t="n">
        <v>25</v>
      </c>
      <c r="S40" s="2" t="n">
        <v>30</v>
      </c>
      <c r="T40" s="2" t="n">
        <v>0.1</v>
      </c>
      <c r="U40" s="2" t="n">
        <v>9</v>
      </c>
      <c r="V40" s="2" t="n">
        <v>162.4</v>
      </c>
      <c r="W40" s="2" t="n">
        <v>0.16</v>
      </c>
      <c r="X40" s="2" t="n">
        <v>0.4</v>
      </c>
      <c r="Y40" s="2" t="n">
        <v>0</v>
      </c>
      <c r="Z40" s="2" t="n"/>
      <c r="AA40" s="2" t="n"/>
      <c r="AB40" s="2" t="n">
        <v>0.02</v>
      </c>
      <c r="AC40" s="2" t="n">
        <v>0</v>
      </c>
      <c r="AD40" s="2" t="n">
        <v>0.5</v>
      </c>
      <c r="AE40" s="2" t="n">
        <v>2</v>
      </c>
      <c r="AF40" s="2" t="n">
        <v>100</v>
      </c>
      <c r="AG40" s="2" t="n"/>
    </row>
    <row r="41">
      <c r="A41" t="inlineStr">
        <is>
          <t>165</t>
        </is>
      </c>
      <c r="B41" t="inlineStr">
        <is>
          <t>Sate, tongseng</t>
        </is>
      </c>
      <c r="C41" t="inlineStr">
        <is>
          <t>tkpi_partial</t>
        </is>
      </c>
      <c r="D41" t="inlineStr">
        <is>
          <t>ingredient</t>
        </is>
      </c>
      <c r="E41" t="inlineStr">
        <is>
          <t>Tongseng: Kecap</t>
        </is>
      </c>
      <c r="F41" s="2" t="n">
        <v>2.5</v>
      </c>
      <c r="G41" t="inlineStr">
        <is>
          <t>TKPI</t>
        </is>
      </c>
      <c r="H41" t="inlineStr">
        <is>
          <t>NP005</t>
        </is>
      </c>
      <c r="J41" t="inlineStr">
        <is>
          <t>-</t>
        </is>
      </c>
      <c r="K41" s="2" t="n">
        <v>63</v>
      </c>
      <c r="L41" s="2" t="n">
        <v>71</v>
      </c>
      <c r="M41" s="2" t="n">
        <v>5.7</v>
      </c>
      <c r="N41" s="2" t="n">
        <v>1.3</v>
      </c>
      <c r="O41" s="2" t="n">
        <v>9</v>
      </c>
      <c r="P41" s="2" t="n">
        <v>0</v>
      </c>
      <c r="Q41" s="2" t="n">
        <v>21</v>
      </c>
      <c r="R41" s="2" t="n">
        <v>123</v>
      </c>
      <c r="S41" s="2" t="n">
        <v>96</v>
      </c>
      <c r="T41" s="2" t="n">
        <v>5.7</v>
      </c>
      <c r="U41" s="2" t="n">
        <v>1114</v>
      </c>
      <c r="V41" s="2" t="n"/>
      <c r="W41" s="2" t="n">
        <v>0.04</v>
      </c>
      <c r="X41" s="2" t="n"/>
      <c r="Y41" s="2" t="n">
        <v>0</v>
      </c>
      <c r="Z41" s="2" t="n"/>
      <c r="AA41" s="2" t="n"/>
      <c r="AB41" s="2" t="n">
        <v>0</v>
      </c>
      <c r="AC41" s="2" t="n"/>
      <c r="AD41" s="2" t="n"/>
      <c r="AE41" s="2" t="n">
        <v>0</v>
      </c>
      <c r="AF41" s="2" t="n">
        <v>100</v>
      </c>
      <c r="AG41" s="2" t="n"/>
    </row>
    <row r="42">
      <c r="A42" t="inlineStr">
        <is>
          <t>165</t>
        </is>
      </c>
      <c r="B42" t="inlineStr">
        <is>
          <t>Sate, tongseng</t>
        </is>
      </c>
      <c r="C42" t="inlineStr">
        <is>
          <t>tkpi_partial</t>
        </is>
      </c>
      <c r="D42" t="inlineStr">
        <is>
          <t>ingredient</t>
        </is>
      </c>
      <c r="E42" t="inlineStr">
        <is>
          <t>Tongseng: Minyak kelapa sawit</t>
        </is>
      </c>
      <c r="F42" s="2" t="n">
        <v>1.5</v>
      </c>
      <c r="G42" t="inlineStr">
        <is>
          <t>TKPI</t>
        </is>
      </c>
      <c r="H42" t="inlineStr">
        <is>
          <t>KR012</t>
        </is>
      </c>
      <c r="J42" t="inlineStr">
        <is>
          <t>-</t>
        </is>
      </c>
      <c r="K42" s="2" t="n">
        <v>0</v>
      </c>
      <c r="L42" s="2" t="n">
        <v>884</v>
      </c>
      <c r="M42" s="2" t="n">
        <v>0</v>
      </c>
      <c r="N42" s="2" t="n">
        <v>100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/>
      <c r="Z42" s="2" t="n">
        <v>18181</v>
      </c>
      <c r="AA42" s="2" t="n"/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100</v>
      </c>
      <c r="AG42" s="2" t="n"/>
    </row>
    <row r="43">
      <c r="A43" t="inlineStr">
        <is>
          <t>165</t>
        </is>
      </c>
      <c r="B43" t="inlineStr">
        <is>
          <t>Sate, tongseng</t>
        </is>
      </c>
      <c r="C43" t="inlineStr">
        <is>
          <t>tkpi_partial</t>
        </is>
      </c>
      <c r="D43" t="inlineStr">
        <is>
          <t>ingredient</t>
        </is>
      </c>
      <c r="E43" t="inlineStr">
        <is>
          <t>Tongseng: Gula kelapa</t>
        </is>
      </c>
      <c r="F43" s="2" t="n">
        <v>0.5</v>
      </c>
      <c r="G43" t="inlineStr">
        <is>
          <t>TKPI</t>
        </is>
      </c>
      <c r="H43" t="inlineStr">
        <is>
          <t>MP006</t>
        </is>
      </c>
      <c r="I43" t="inlineStr">
        <is>
          <t>bumbu</t>
        </is>
      </c>
      <c r="J43" t="inlineStr">
        <is>
          <t>-</t>
        </is>
      </c>
      <c r="K43" s="2" t="n">
        <v>10</v>
      </c>
      <c r="L43" s="2" t="n">
        <v>386</v>
      </c>
      <c r="M43" s="2" t="n">
        <v>3</v>
      </c>
      <c r="N43" s="2" t="n">
        <v>10</v>
      </c>
      <c r="O43" s="2" t="n">
        <v>76</v>
      </c>
      <c r="P43" s="2" t="n">
        <v>0</v>
      </c>
      <c r="Q43" s="2" t="n">
        <v>1</v>
      </c>
      <c r="R43" s="2" t="n">
        <v>76</v>
      </c>
      <c r="S43" s="2" t="n">
        <v>37</v>
      </c>
      <c r="T43" s="2" t="n">
        <v>2.6</v>
      </c>
      <c r="U43" s="2" t="n">
        <v>2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/>
      <c r="AB43" s="2" t="n">
        <v>0</v>
      </c>
      <c r="AC43" s="2" t="n">
        <v>0.34</v>
      </c>
      <c r="AD43" s="2" t="n">
        <v>0.5</v>
      </c>
      <c r="AE43" s="2" t="n">
        <v>0</v>
      </c>
      <c r="AF43" s="2" t="n">
        <v>100</v>
      </c>
      <c r="AG43" s="2" t="n"/>
    </row>
    <row r="44">
      <c r="A44" t="inlineStr">
        <is>
          <t>165</t>
        </is>
      </c>
      <c r="B44" t="inlineStr">
        <is>
          <t>Sate, tongseng</t>
        </is>
      </c>
      <c r="C44" t="inlineStr">
        <is>
          <t>tkpi_partial</t>
        </is>
      </c>
      <c r="D44" t="inlineStr">
        <is>
          <t>ingredient</t>
        </is>
      </c>
      <c r="E44" t="inlineStr">
        <is>
          <t>Tongseng: Bawang merah, segar</t>
        </is>
      </c>
      <c r="F44" s="2" t="n">
        <v>1.5</v>
      </c>
      <c r="G44" t="inlineStr">
        <is>
          <t>TKPI</t>
        </is>
      </c>
      <c r="H44" t="inlineStr">
        <is>
          <t>NR007</t>
        </is>
      </c>
      <c r="I44" t="inlineStr">
        <is>
          <t>bumbu</t>
        </is>
      </c>
      <c r="J44" t="inlineStr">
        <is>
          <t>-</t>
        </is>
      </c>
      <c r="K44" s="2" t="n">
        <v>88</v>
      </c>
      <c r="L44" s="2" t="n">
        <v>46</v>
      </c>
      <c r="M44" s="2" t="n">
        <v>1.5</v>
      </c>
      <c r="N44" s="2" t="n">
        <v>0.3</v>
      </c>
      <c r="O44" s="2" t="n">
        <v>9.199999999999999</v>
      </c>
      <c r="P44" s="2" t="n">
        <v>1.7</v>
      </c>
      <c r="Q44" s="2" t="n">
        <v>1</v>
      </c>
      <c r="R44" s="2" t="n">
        <v>36</v>
      </c>
      <c r="S44" s="2" t="n">
        <v>40</v>
      </c>
      <c r="T44" s="2" t="n">
        <v>0.8</v>
      </c>
      <c r="U44" s="2" t="n">
        <v>7</v>
      </c>
      <c r="V44" s="2" t="n">
        <v>178.6</v>
      </c>
      <c r="W44" s="2" t="n">
        <v>0.06</v>
      </c>
      <c r="X44" s="2" t="n">
        <v>0.2</v>
      </c>
      <c r="Y44" s="2" t="n"/>
      <c r="Z44" s="2" t="n">
        <v>2</v>
      </c>
      <c r="AA44" s="2" t="n"/>
      <c r="AB44" s="2" t="n">
        <v>0.03</v>
      </c>
      <c r="AC44" s="2" t="n">
        <v>0.04</v>
      </c>
      <c r="AD44" s="2" t="n">
        <v>0.2</v>
      </c>
      <c r="AE44" s="2" t="n">
        <v>2</v>
      </c>
      <c r="AF44" s="2" t="n">
        <v>90</v>
      </c>
      <c r="AG44" s="2" t="n"/>
    </row>
    <row r="45">
      <c r="A45" t="inlineStr">
        <is>
          <t>165</t>
        </is>
      </c>
      <c r="B45" t="inlineStr">
        <is>
          <t>Sate, tongseng</t>
        </is>
      </c>
      <c r="C45" t="inlineStr">
        <is>
          <t>tkpi_partial</t>
        </is>
      </c>
      <c r="D45" t="inlineStr">
        <is>
          <t>ingredient</t>
        </is>
      </c>
      <c r="E45" t="inlineStr">
        <is>
          <t>Tongseng: Bawang putih, segar</t>
        </is>
      </c>
      <c r="F45" s="2" t="n">
        <v>0.75</v>
      </c>
      <c r="G45" t="inlineStr">
        <is>
          <t>TKPI</t>
        </is>
      </c>
      <c r="H45" t="inlineStr">
        <is>
          <t>NR008</t>
        </is>
      </c>
      <c r="I45" t="inlineStr">
        <is>
          <t>bumbu</t>
        </is>
      </c>
      <c r="J45" t="inlineStr">
        <is>
          <t>-</t>
        </is>
      </c>
      <c r="K45" s="2" t="n">
        <v>71</v>
      </c>
      <c r="L45" s="2" t="n">
        <v>112</v>
      </c>
      <c r="M45" s="2" t="n">
        <v>4.5</v>
      </c>
      <c r="N45" s="2" t="n">
        <v>0.2</v>
      </c>
      <c r="O45" s="2" t="n">
        <v>23.1</v>
      </c>
      <c r="P45" s="2" t="n">
        <v>0.6</v>
      </c>
      <c r="Q45" s="2" t="n">
        <v>1.8</v>
      </c>
      <c r="R45" s="2" t="n">
        <v>42</v>
      </c>
      <c r="S45" s="2" t="n">
        <v>134</v>
      </c>
      <c r="T45" s="2" t="n">
        <v>1</v>
      </c>
      <c r="U45" s="2" t="n">
        <v>46</v>
      </c>
      <c r="V45" s="2" t="n">
        <v>665.7</v>
      </c>
      <c r="W45" s="2" t="n">
        <v>0.09</v>
      </c>
      <c r="X45" s="2" t="n">
        <v>0.4</v>
      </c>
      <c r="Y45" s="2" t="n"/>
      <c r="Z45" s="2" t="n">
        <v>0</v>
      </c>
      <c r="AA45" s="2" t="n"/>
      <c r="AB45" s="2" t="n">
        <v>0.22</v>
      </c>
      <c r="AC45" s="2" t="n">
        <v>0.07000000000000001</v>
      </c>
      <c r="AD45" s="2" t="n">
        <v>0.3</v>
      </c>
      <c r="AE45" s="2" t="n">
        <v>15</v>
      </c>
      <c r="AF45" s="2" t="n">
        <v>88</v>
      </c>
      <c r="AG45" s="2" t="n"/>
    </row>
    <row r="46">
      <c r="A46" t="inlineStr">
        <is>
          <t>165</t>
        </is>
      </c>
      <c r="B46" t="inlineStr">
        <is>
          <t>Sate, tongseng</t>
        </is>
      </c>
      <c r="C46" t="inlineStr">
        <is>
          <t>tkpi_partial</t>
        </is>
      </c>
      <c r="D46" t="inlineStr">
        <is>
          <t>ingredient</t>
        </is>
      </c>
      <c r="E46" t="inlineStr">
        <is>
          <t>Tongseng: Cabai rawit, segar</t>
        </is>
      </c>
      <c r="F46" s="2" t="n">
        <v>0.5</v>
      </c>
      <c r="G46" t="inlineStr">
        <is>
          <t>TKPI</t>
        </is>
      </c>
      <c r="H46" t="inlineStr">
        <is>
          <t>NR015</t>
        </is>
      </c>
      <c r="I46" t="inlineStr">
        <is>
          <t>bumbu</t>
        </is>
      </c>
      <c r="J46" t="inlineStr">
        <is>
          <t>-</t>
        </is>
      </c>
      <c r="K46" s="2" t="n">
        <v>71.2</v>
      </c>
      <c r="L46" s="2" t="n">
        <v>120</v>
      </c>
      <c r="M46" s="2" t="n">
        <v>4.7</v>
      </c>
      <c r="N46" s="2" t="n">
        <v>2.4</v>
      </c>
      <c r="O46" s="2" t="n">
        <v>19.9</v>
      </c>
      <c r="P46" s="2" t="n">
        <v>15.2</v>
      </c>
      <c r="Q46" s="2" t="n">
        <v>1.8</v>
      </c>
      <c r="R46" s="2" t="n">
        <v>45</v>
      </c>
      <c r="S46" s="2" t="n">
        <v>85</v>
      </c>
      <c r="T46" s="2" t="n">
        <v>2.5</v>
      </c>
      <c r="U46" s="2" t="n">
        <v>34</v>
      </c>
      <c r="V46" s="2" t="n">
        <v>706.2</v>
      </c>
      <c r="W46" s="2" t="n">
        <v>0.29</v>
      </c>
      <c r="X46" s="2" t="n">
        <v>0.6</v>
      </c>
      <c r="Y46" s="2" t="n"/>
      <c r="Z46" s="2" t="n">
        <v>1694</v>
      </c>
      <c r="AA46" s="2" t="n">
        <v>11050</v>
      </c>
      <c r="AB46" s="2" t="n">
        <v>0.24</v>
      </c>
      <c r="AC46" s="2" t="n">
        <v>0.09</v>
      </c>
      <c r="AD46" s="2" t="n">
        <v>1.7</v>
      </c>
      <c r="AE46" s="2" t="n">
        <v>70</v>
      </c>
      <c r="AF46" s="2" t="n">
        <v>85</v>
      </c>
      <c r="AG46" s="2" t="n"/>
    </row>
    <row r="47">
      <c r="A47" t="inlineStr">
        <is>
          <t>165</t>
        </is>
      </c>
      <c r="B47" t="inlineStr">
        <is>
          <t>Sate, tongseng</t>
        </is>
      </c>
      <c r="C47" t="inlineStr">
        <is>
          <t>tkpi_partial</t>
        </is>
      </c>
      <c r="D47" t="inlineStr">
        <is>
          <t>ingredient</t>
        </is>
      </c>
      <c r="E47" t="inlineStr">
        <is>
          <t>Tongseng: Jahe, segar</t>
        </is>
      </c>
      <c r="F47" s="2" t="n">
        <v>0.25</v>
      </c>
      <c r="G47" t="inlineStr">
        <is>
          <t>TKPI</t>
        </is>
      </c>
      <c r="H47" t="inlineStr">
        <is>
          <t>NR018</t>
        </is>
      </c>
      <c r="I47" t="inlineStr">
        <is>
          <t>bumbu</t>
        </is>
      </c>
      <c r="J47" t="inlineStr">
        <is>
          <t>-</t>
        </is>
      </c>
      <c r="K47" s="2" t="n">
        <v>86.2</v>
      </c>
      <c r="L47" s="2" t="n">
        <v>51</v>
      </c>
      <c r="M47" s="2" t="n">
        <v>1.5</v>
      </c>
      <c r="N47" s="2" t="n">
        <v>1</v>
      </c>
      <c r="O47" s="2" t="n">
        <v>10.1</v>
      </c>
      <c r="P47" s="2" t="n">
        <v>12</v>
      </c>
      <c r="Q47" s="2" t="n">
        <v>1.2</v>
      </c>
      <c r="R47" s="2" t="n">
        <v>21</v>
      </c>
      <c r="S47" s="2" t="n">
        <v>39</v>
      </c>
      <c r="T47" s="2" t="n">
        <v>1.6</v>
      </c>
      <c r="U47" s="2" t="n">
        <v>12</v>
      </c>
      <c r="V47" s="2" t="n">
        <v>441.7</v>
      </c>
      <c r="W47" s="2" t="n">
        <v>0.48</v>
      </c>
      <c r="X47" s="2" t="n">
        <v>0.7</v>
      </c>
      <c r="Y47" s="2" t="n"/>
      <c r="Z47" s="2" t="n">
        <v>0</v>
      </c>
      <c r="AA47" s="2" t="n">
        <v>9</v>
      </c>
      <c r="AB47" s="2" t="n">
        <v>0.02</v>
      </c>
      <c r="AC47" s="2" t="n">
        <v>0.17</v>
      </c>
      <c r="AD47" s="2" t="n">
        <v>3.3</v>
      </c>
      <c r="AE47" s="2" t="n">
        <v>4</v>
      </c>
      <c r="AF47" s="2" t="n">
        <v>97</v>
      </c>
      <c r="AG47" s="2" t="n"/>
    </row>
    <row r="48">
      <c r="A48" t="inlineStr">
        <is>
          <t>165</t>
        </is>
      </c>
      <c r="B48" t="inlineStr">
        <is>
          <t>Sate, tongseng</t>
        </is>
      </c>
      <c r="C48" t="inlineStr">
        <is>
          <t>tkpi_partial</t>
        </is>
      </c>
      <c r="D48" t="inlineStr">
        <is>
          <t>ingredient</t>
        </is>
      </c>
      <c r="E48" t="inlineStr">
        <is>
          <t>Tongseng: Lengkuas, segar</t>
        </is>
      </c>
      <c r="F48" s="2" t="n">
        <v>0.25</v>
      </c>
      <c r="G48" t="inlineStr">
        <is>
          <t>TKPI</t>
        </is>
      </c>
      <c r="H48" t="inlineStr">
        <is>
          <t>NR010</t>
        </is>
      </c>
      <c r="I48" t="inlineStr">
        <is>
          <t>bumbu</t>
        </is>
      </c>
      <c r="J48" t="inlineStr">
        <is>
          <t>-</t>
        </is>
      </c>
      <c r="K48" s="2" t="n">
        <v>93</v>
      </c>
      <c r="L48" s="2" t="n">
        <v>26</v>
      </c>
      <c r="M48" s="2" t="n">
        <v>1</v>
      </c>
      <c r="N48" s="2" t="n">
        <v>0.3</v>
      </c>
      <c r="O48" s="2" t="n">
        <v>4.7</v>
      </c>
      <c r="P48" s="2" t="n">
        <v>1.1</v>
      </c>
      <c r="Q48" s="2" t="n">
        <v>1</v>
      </c>
      <c r="R48" s="2" t="n">
        <v>50</v>
      </c>
      <c r="S48" s="2" t="n">
        <v>50</v>
      </c>
      <c r="T48" s="2" t="n">
        <v>2</v>
      </c>
      <c r="U48" s="2" t="n">
        <v>24</v>
      </c>
      <c r="V48" s="2" t="n">
        <v>137.1</v>
      </c>
      <c r="W48" s="2" t="n">
        <v>0.07000000000000001</v>
      </c>
      <c r="X48" s="2" t="n">
        <v>0.3</v>
      </c>
      <c r="Y48" s="2" t="n"/>
      <c r="Z48" s="2" t="n">
        <v>5</v>
      </c>
      <c r="AA48" s="2" t="n">
        <v>5000</v>
      </c>
      <c r="AB48" s="2" t="n">
        <v>0.08</v>
      </c>
      <c r="AC48" s="2" t="n">
        <v>0.06</v>
      </c>
      <c r="AD48" s="2" t="n">
        <v>0.3</v>
      </c>
      <c r="AE48" s="2" t="n">
        <v>50</v>
      </c>
      <c r="AF48" s="2" t="n">
        <v>80</v>
      </c>
      <c r="AG48" s="2" t="n"/>
    </row>
    <row r="49">
      <c r="A49" t="inlineStr">
        <is>
          <t>165</t>
        </is>
      </c>
      <c r="B49" t="inlineStr">
        <is>
          <t>Sate, tongseng</t>
        </is>
      </c>
      <c r="C49" t="inlineStr">
        <is>
          <t>tkpi_partial</t>
        </is>
      </c>
      <c r="D49" t="inlineStr">
        <is>
          <t>ingredient</t>
        </is>
      </c>
      <c r="E49" t="inlineStr">
        <is>
          <t>Tongseng: Garam (iodized salt)</t>
        </is>
      </c>
      <c r="F49" s="2" t="n">
        <v>0.25</v>
      </c>
      <c r="G49" t="inlineStr">
        <is>
          <t>USDA</t>
        </is>
      </c>
      <c r="H49" t="inlineStr">
        <is>
          <t>746775</t>
        </is>
      </c>
      <c r="J49" t="inlineStr">
        <is>
          <t>https://fdc.nal.usda.gov/food-details/746775/nutrients</t>
        </is>
      </c>
      <c r="K49" s="2" t="n">
        <v>0.42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99</v>
      </c>
      <c r="R49" s="2" t="n">
        <v>50</v>
      </c>
      <c r="S49" s="2" t="n">
        <v>0</v>
      </c>
      <c r="T49" s="2" t="n">
        <v>0</v>
      </c>
      <c r="U49" s="2" t="n">
        <v>38700</v>
      </c>
      <c r="V49" s="2" t="n">
        <v>2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100</v>
      </c>
      <c r="AG49" s="2" t="n"/>
    </row>
    <row r="50">
      <c r="A50" t="inlineStr">
        <is>
          <t>165</t>
        </is>
      </c>
      <c r="B50" t="inlineStr">
        <is>
          <t>Sate, tongseng</t>
        </is>
      </c>
      <c r="C50" t="inlineStr">
        <is>
          <t>tkpi_partial</t>
        </is>
      </c>
      <c r="D50" t="inlineStr">
        <is>
          <t>ingredient</t>
        </is>
      </c>
      <c r="E50" t="inlineStr">
        <is>
          <t>Tongseng: Air (broth)</t>
        </is>
      </c>
      <c r="F50" s="2" t="n">
        <v>12</v>
      </c>
      <c r="G50" t="inlineStr">
        <is>
          <t>water</t>
        </is>
      </c>
      <c r="H50" t="inlineStr">
        <is>
          <t>-</t>
        </is>
      </c>
      <c r="I50" t="inlineStr">
        <is>
          <t>mineral water, composition as item 175</t>
        </is>
      </c>
      <c r="J50" t="inlineStr">
        <is>
          <t>-</t>
        </is>
      </c>
      <c r="K50" s="2" t="n">
        <v>100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0.914</v>
      </c>
      <c r="S50" s="2" t="n">
        <v>0</v>
      </c>
      <c r="T50" s="2" t="n">
        <v>0</v>
      </c>
      <c r="U50" s="2" t="n">
        <v>3.5</v>
      </c>
      <c r="V50" s="2" t="n">
        <v>0.3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100</v>
      </c>
      <c r="AG50" s="2" t="n">
        <v>0</v>
      </c>
    </row>
    <row r="51">
      <c r="A51" s="3" t="inlineStr">
        <is>
          <t>165</t>
        </is>
      </c>
      <c r="B51" s="3" t="inlineStr">
        <is>
          <t>Sate, tongseng</t>
        </is>
      </c>
      <c r="C51" s="3" t="inlineStr">
        <is>
          <t>tkpi_partial</t>
        </is>
      </c>
      <c r="D51" s="3" t="inlineStr">
        <is>
          <t>average</t>
        </is>
      </c>
      <c r="E51" s="3" t="inlineStr">
        <is>
          <t>Sate, tongseng, per 100 g</t>
        </is>
      </c>
      <c r="F51" s="4">
        <f>SUM(F34:F50)</f>
        <v/>
      </c>
      <c r="G51" s="3" t="inlineStr">
        <is>
          <t>calculated</t>
        </is>
      </c>
      <c r="H51" s="3" t="inlineStr">
        <is>
          <t>-</t>
        </is>
      </c>
      <c r="I51" s="3" t="inlineStr">
        <is>
          <t>weighted average; ingredients missing a nutrient count as zero (values are minimums where a source is incomplete); blank = no ingredient reports it</t>
        </is>
      </c>
      <c r="J51" s="3" t="inlineStr">
        <is>
          <t>-</t>
        </is>
      </c>
      <c r="K51" s="4">
        <f>IF(COUNT(K34:K50)=0,"",SUMPRODUCT($F34:$F50/100,K34:K50))</f>
        <v/>
      </c>
      <c r="L51" s="4">
        <f>IF(COUNT(L34:L50)=0,"",SUMPRODUCT($F34:$F50/100,L34:L50))</f>
        <v/>
      </c>
      <c r="M51" s="4">
        <f>IF(COUNT(M34:M50)=0,"",SUMPRODUCT($F34:$F50/100,M34:M50))</f>
        <v/>
      </c>
      <c r="N51" s="4">
        <f>IF(COUNT(N34:N50)=0,"",SUMPRODUCT($F34:$F50/100,N34:N50))</f>
        <v/>
      </c>
      <c r="O51" s="4">
        <f>IF(COUNT(O34:O50)=0,"",SUMPRODUCT($F34:$F50/100,O34:O50))</f>
        <v/>
      </c>
      <c r="P51" s="4">
        <f>IF(COUNT(P34:P50)=0,"",SUMPRODUCT($F34:$F50/100,P34:P50))</f>
        <v/>
      </c>
      <c r="Q51" s="4">
        <f>IF(COUNT(Q34:Q50)=0,"",SUMPRODUCT($F34:$F50/100,Q34:Q50))</f>
        <v/>
      </c>
      <c r="R51" s="4">
        <f>IF(COUNT(R34:R50)=0,"",SUMPRODUCT($F34:$F50/100,R34:R50))</f>
        <v/>
      </c>
      <c r="S51" s="4">
        <f>IF(COUNT(S34:S50)=0,"",SUMPRODUCT($F34:$F50/100,S34:S50))</f>
        <v/>
      </c>
      <c r="T51" s="4">
        <f>IF(COUNT(T34:T50)=0,"",SUMPRODUCT($F34:$F50/100,T34:T50))</f>
        <v/>
      </c>
      <c r="U51" s="4">
        <f>IF(COUNT(U34:U50)=0,"",SUMPRODUCT($F34:$F50/100,U34:U50))</f>
        <v/>
      </c>
      <c r="V51" s="4">
        <f>IF(COUNT(V34:V50)=0,"",SUMPRODUCT($F34:$F50/100,V34:V50))</f>
        <v/>
      </c>
      <c r="W51" s="4">
        <f>IF(COUNT(W34:W50)=0,"",SUMPRODUCT($F34:$F50/100,W34:W50))</f>
        <v/>
      </c>
      <c r="X51" s="4">
        <f>IF(COUNT(X34:X50)=0,"",SUMPRODUCT($F34:$F50/100,X34:X50))</f>
        <v/>
      </c>
      <c r="Y51" s="4">
        <f>IF(COUNT(Y34:Y50)=0,"",SUMPRODUCT($F34:$F50/100,Y34:Y50))</f>
        <v/>
      </c>
      <c r="Z51" s="4">
        <f>IF(COUNT(Z34:Z50)=0,"",SUMPRODUCT($F34:$F50/100,Z34:Z50))</f>
        <v/>
      </c>
      <c r="AA51" s="4">
        <f>IF(COUNT(AA34:AA50)=0,"",SUMPRODUCT($F34:$F50/100,AA34:AA50))</f>
        <v/>
      </c>
      <c r="AB51" s="4">
        <f>IF(COUNT(AB34:AB50)=0,"",SUMPRODUCT($F34:$F50/100,AB34:AB50))</f>
        <v/>
      </c>
      <c r="AC51" s="4">
        <f>IF(COUNT(AC34:AC50)=0,"",SUMPRODUCT($F34:$F50/100,AC34:AC50))</f>
        <v/>
      </c>
      <c r="AD51" s="4">
        <f>IF(COUNT(AD34:AD50)=0,"",SUMPRODUCT($F34:$F50/100,AD34:AD50))</f>
        <v/>
      </c>
      <c r="AE51" s="4">
        <f>IF(COUNT(AE34:AE50)=0,"",SUMPRODUCT($F34:$F50/100,AE34:AE50))</f>
        <v/>
      </c>
      <c r="AF51" s="4">
        <f t="array" ref="AF51">IF(COUNT(AF34:AF50)=0,"",SUMPRODUCT($F34:$F50/100,AF34:AF50))</f>
        <v/>
      </c>
      <c r="AG51" s="4" t="n">
        <v>1</v>
      </c>
    </row>
    <row r="52">
      <c r="A52" t="inlineStr">
        <is>
          <t>171</t>
        </is>
      </c>
      <c r="B52" t="inlineStr">
        <is>
          <t>Daging olahan (sosis, nugget, daging asap, dsb) matang</t>
        </is>
      </c>
      <c r="C52" t="inlineStr">
        <is>
          <t>tkpi_partial</t>
        </is>
      </c>
      <c r="D52" t="inlineStr">
        <is>
          <t>ingredient</t>
        </is>
      </c>
      <c r="E52" t="inlineStr">
        <is>
          <t>Sapi, daging, asap</t>
        </is>
      </c>
      <c r="F52" s="2" t="n">
        <v>20</v>
      </c>
      <c r="G52" t="inlineStr">
        <is>
          <t>TKPI</t>
        </is>
      </c>
      <c r="H52" t="inlineStr">
        <is>
          <t>FP013</t>
        </is>
      </c>
      <c r="J52" t="inlineStr">
        <is>
          <t>-</t>
        </is>
      </c>
      <c r="K52" s="2" t="n">
        <v>60</v>
      </c>
      <c r="L52" s="2" t="n">
        <v>182</v>
      </c>
      <c r="M52" s="2" t="n">
        <v>32</v>
      </c>
      <c r="N52" s="2" t="n">
        <v>6</v>
      </c>
      <c r="O52" s="2" t="n">
        <v>0</v>
      </c>
      <c r="P52" s="2" t="n">
        <v>0</v>
      </c>
      <c r="Q52" s="2" t="n">
        <v>2</v>
      </c>
      <c r="R52" s="2" t="n">
        <v>15</v>
      </c>
      <c r="S52" s="2" t="n">
        <v>300</v>
      </c>
      <c r="T52" s="2" t="n">
        <v>5</v>
      </c>
      <c r="U52" s="2" t="n">
        <v>1620</v>
      </c>
      <c r="V52" s="2" t="n">
        <v>485.4</v>
      </c>
      <c r="W52" s="2" t="n">
        <v>0.03</v>
      </c>
      <c r="X52" s="2" t="n">
        <v>5.1</v>
      </c>
      <c r="Y52" s="2" t="n">
        <v>6</v>
      </c>
      <c r="Z52" s="2" t="n"/>
      <c r="AA52" s="2" t="n"/>
      <c r="AB52" s="2" t="n">
        <v>0.12</v>
      </c>
      <c r="AC52" s="2" t="n">
        <v>0.23</v>
      </c>
      <c r="AD52" s="2" t="n">
        <v>5.9</v>
      </c>
      <c r="AE52" s="2" t="n">
        <v>0</v>
      </c>
      <c r="AF52" s="2" t="n">
        <v>100</v>
      </c>
      <c r="AG52" s="2" t="n"/>
    </row>
    <row r="53">
      <c r="A53" t="inlineStr">
        <is>
          <t>171</t>
        </is>
      </c>
      <c r="B53" t="inlineStr">
        <is>
          <t>Daging olahan (sosis, nugget, daging asap, dsb) matang</t>
        </is>
      </c>
      <c r="C53" t="inlineStr">
        <is>
          <t>tkpi_partial</t>
        </is>
      </c>
      <c r="D53" t="inlineStr">
        <is>
          <t>ingredient</t>
        </is>
      </c>
      <c r="E53" t="inlineStr">
        <is>
          <t>Sapi, daging, kornet</t>
        </is>
      </c>
      <c r="F53" s="2" t="n">
        <v>20</v>
      </c>
      <c r="G53" t="inlineStr">
        <is>
          <t>TKPI</t>
        </is>
      </c>
      <c r="H53" t="inlineStr">
        <is>
          <t>FP015</t>
        </is>
      </c>
      <c r="J53" t="inlineStr">
        <is>
          <t>-</t>
        </is>
      </c>
      <c r="K53" s="2" t="n">
        <v>53</v>
      </c>
      <c r="L53" s="2" t="n">
        <v>289</v>
      </c>
      <c r="M53" s="2" t="n">
        <v>16</v>
      </c>
      <c r="N53" s="2" t="n">
        <v>25</v>
      </c>
      <c r="O53" s="2" t="n">
        <v>0</v>
      </c>
      <c r="P53" s="2" t="n">
        <v>0</v>
      </c>
      <c r="Q53" s="2" t="n">
        <v>6</v>
      </c>
      <c r="R53" s="2" t="n">
        <v>10</v>
      </c>
      <c r="S53" s="2" t="n">
        <v>170</v>
      </c>
      <c r="T53" s="2" t="n">
        <v>4</v>
      </c>
      <c r="U53" s="2" t="n">
        <v>794</v>
      </c>
      <c r="V53" s="2" t="n">
        <v>94.40000000000001</v>
      </c>
      <c r="W53" s="2" t="n">
        <v>0.07000000000000001</v>
      </c>
      <c r="X53" s="2" t="n">
        <v>4</v>
      </c>
      <c r="Y53" s="2" t="n">
        <v>0</v>
      </c>
      <c r="Z53" s="2" t="n">
        <v>52</v>
      </c>
      <c r="AA53" s="2" t="n"/>
      <c r="AB53" s="2" t="n">
        <v>0.01</v>
      </c>
      <c r="AC53" s="2" t="n">
        <v>0.16</v>
      </c>
      <c r="AD53" s="2" t="n">
        <v>2.7</v>
      </c>
      <c r="AE53" s="2" t="n">
        <v>0</v>
      </c>
      <c r="AF53" s="2" t="n">
        <v>100</v>
      </c>
      <c r="AG53" s="2" t="n"/>
    </row>
    <row r="54">
      <c r="A54" t="inlineStr">
        <is>
          <t>171</t>
        </is>
      </c>
      <c r="B54" t="inlineStr">
        <is>
          <t>Daging olahan (sosis, nugget, daging asap, dsb) matang</t>
        </is>
      </c>
      <c r="C54" t="inlineStr">
        <is>
          <t>tkpi_partial</t>
        </is>
      </c>
      <c r="D54" t="inlineStr">
        <is>
          <t>ingredient</t>
        </is>
      </c>
      <c r="E54" t="inlineStr">
        <is>
          <t>Sapi, sosis</t>
        </is>
      </c>
      <c r="F54" s="2" t="n">
        <v>20</v>
      </c>
      <c r="G54" t="inlineStr">
        <is>
          <t>TKPI</t>
        </is>
      </c>
      <c r="H54" t="inlineStr">
        <is>
          <t>FP016</t>
        </is>
      </c>
      <c r="J54" t="inlineStr">
        <is>
          <t>-</t>
        </is>
      </c>
      <c r="K54" s="2" t="n">
        <v>37.6</v>
      </c>
      <c r="L54" s="2" t="n">
        <v>448</v>
      </c>
      <c r="M54" s="2" t="n">
        <v>14.5</v>
      </c>
      <c r="N54" s="2" t="n">
        <v>42.3</v>
      </c>
      <c r="O54" s="2" t="n">
        <v>2.3</v>
      </c>
      <c r="P54" s="2" t="n"/>
      <c r="Q54" s="2" t="n">
        <v>3.3</v>
      </c>
      <c r="R54" s="2" t="n">
        <v>28</v>
      </c>
      <c r="S54" s="2" t="n">
        <v>61</v>
      </c>
      <c r="T54" s="2" t="n">
        <v>1.1</v>
      </c>
      <c r="U54" s="2" t="n">
        <v>765</v>
      </c>
      <c r="V54" s="2" t="n">
        <v>284.5</v>
      </c>
      <c r="W54" s="2" t="n">
        <v>0.06</v>
      </c>
      <c r="X54" s="2" t="n">
        <v>1.7</v>
      </c>
      <c r="Y54" s="2" t="n">
        <v>0</v>
      </c>
      <c r="Z54" s="2" t="n"/>
      <c r="AA54" s="2" t="n"/>
      <c r="AB54" s="2" t="n">
        <v>0.1</v>
      </c>
      <c r="AC54" s="2" t="n">
        <v>0.18</v>
      </c>
      <c r="AD54" s="2" t="n">
        <v>4.9</v>
      </c>
      <c r="AE54" s="2" t="n">
        <v>0</v>
      </c>
      <c r="AF54" s="2" t="n">
        <v>100</v>
      </c>
      <c r="AG54" s="2" t="n"/>
    </row>
    <row r="55">
      <c r="A55" t="inlineStr">
        <is>
          <t>171</t>
        </is>
      </c>
      <c r="B55" t="inlineStr">
        <is>
          <t>Daging olahan (sosis, nugget, daging asap, dsb) matang</t>
        </is>
      </c>
      <c r="C55" t="inlineStr">
        <is>
          <t>tkpi_partial</t>
        </is>
      </c>
      <c r="D55" t="inlineStr">
        <is>
          <t>ingredient</t>
        </is>
      </c>
      <c r="E55" t="inlineStr">
        <is>
          <t>Sapi, hati, sosis</t>
        </is>
      </c>
      <c r="F55" s="2" t="n">
        <v>20</v>
      </c>
      <c r="G55" t="inlineStr">
        <is>
          <t>TKPI</t>
        </is>
      </c>
      <c r="H55" t="inlineStr">
        <is>
          <t>FP017</t>
        </is>
      </c>
      <c r="J55" t="inlineStr">
        <is>
          <t>-</t>
        </is>
      </c>
      <c r="K55" s="2" t="n">
        <v>56.6</v>
      </c>
      <c r="L55" s="2" t="n">
        <v>274</v>
      </c>
      <c r="M55" s="2" t="n">
        <v>16</v>
      </c>
      <c r="N55" s="2" t="n">
        <v>22</v>
      </c>
      <c r="O55" s="2" t="n">
        <v>3</v>
      </c>
      <c r="P55" s="2" t="n">
        <v>2.3</v>
      </c>
      <c r="Q55" s="2" t="n">
        <v>2.4</v>
      </c>
      <c r="R55" s="2" t="n">
        <v>20</v>
      </c>
      <c r="S55" s="2" t="n">
        <v>150</v>
      </c>
      <c r="T55" s="2" t="n">
        <v>4</v>
      </c>
      <c r="U55" s="2" t="n">
        <v>654</v>
      </c>
      <c r="V55" s="2" t="n">
        <v>158.8</v>
      </c>
      <c r="W55" s="2" t="n">
        <v>0.22</v>
      </c>
      <c r="X55" s="2" t="n">
        <v>2.2</v>
      </c>
      <c r="Y55" s="2" t="n">
        <v>1201</v>
      </c>
      <c r="Z55" s="2" t="n"/>
      <c r="AA55" s="2" t="n"/>
      <c r="AB55" s="2" t="n">
        <v>0.2</v>
      </c>
      <c r="AC55" s="2" t="n">
        <v>0.96</v>
      </c>
      <c r="AD55" s="2" t="n">
        <v>4</v>
      </c>
      <c r="AE55" s="2" t="n">
        <v>0</v>
      </c>
      <c r="AF55" s="2" t="n">
        <v>100</v>
      </c>
      <c r="AG55" s="2" t="n"/>
    </row>
    <row r="56">
      <c r="A56" t="inlineStr">
        <is>
          <t>171</t>
        </is>
      </c>
      <c r="B56" t="inlineStr">
        <is>
          <t>Daging olahan (sosis, nugget, daging asap, dsb) matang</t>
        </is>
      </c>
      <c r="C56" t="inlineStr">
        <is>
          <t>tkpi_partial</t>
        </is>
      </c>
      <c r="D56" t="inlineStr">
        <is>
          <t>ingredient</t>
        </is>
      </c>
      <c r="E56" t="inlineStr">
        <is>
          <t>Chicken nuggets, white meat, frozen, precooked</t>
        </is>
      </c>
      <c r="F56" s="2" t="n">
        <v>20</v>
      </c>
      <c r="G56" t="inlineStr">
        <is>
          <t>USDA</t>
        </is>
      </c>
      <c r="H56" t="inlineStr">
        <is>
          <t>172112</t>
        </is>
      </c>
      <c r="I56" t="inlineStr">
        <is>
          <t>adds the processed-chicken side of the item</t>
        </is>
      </c>
      <c r="J56" t="inlineStr">
        <is>
          <t>https://fdc.nal.usda.gov/food-details/172112/nutrients</t>
        </is>
      </c>
      <c r="K56" s="2" t="n">
        <v>51.9</v>
      </c>
      <c r="L56" s="2" t="n">
        <v>261</v>
      </c>
      <c r="M56" s="2" t="n">
        <v>14.4</v>
      </c>
      <c r="N56" s="2" t="n">
        <v>15.4</v>
      </c>
      <c r="O56" s="2" t="n">
        <v>16.2</v>
      </c>
      <c r="P56" s="2" t="n">
        <v>0.7</v>
      </c>
      <c r="Q56" s="2" t="n">
        <v>2.09</v>
      </c>
      <c r="R56" s="2" t="n">
        <v>38</v>
      </c>
      <c r="S56" s="2" t="n">
        <v>213</v>
      </c>
      <c r="T56" s="2" t="n">
        <v>1.43</v>
      </c>
      <c r="U56" s="2" t="n">
        <v>538</v>
      </c>
      <c r="V56" s="2" t="n">
        <v>281</v>
      </c>
      <c r="W56" s="2" t="n">
        <v>0.139</v>
      </c>
      <c r="X56" s="2" t="n">
        <v>0.75</v>
      </c>
      <c r="Y56" s="2" t="n">
        <v>16</v>
      </c>
      <c r="Z56" s="2" t="n">
        <v>0</v>
      </c>
      <c r="AA56" s="2" t="n"/>
      <c r="AB56" s="2" t="n">
        <v>0.106</v>
      </c>
      <c r="AC56" s="2" t="n">
        <v>0.055</v>
      </c>
      <c r="AD56" s="2" t="n">
        <v>6.74</v>
      </c>
      <c r="AE56" s="2" t="n">
        <v>0</v>
      </c>
      <c r="AF56" s="2" t="n">
        <v>100</v>
      </c>
      <c r="AG56" s="2" t="n"/>
    </row>
    <row r="57">
      <c r="A57" s="3" t="inlineStr">
        <is>
          <t>171</t>
        </is>
      </c>
      <c r="B57" s="3" t="inlineStr">
        <is>
          <t>Daging olahan (sosis, nugget, daging asap, dsb) matang</t>
        </is>
      </c>
      <c r="C57" s="3" t="inlineStr">
        <is>
          <t>tkpi_partial</t>
        </is>
      </c>
      <c r="D57" s="3" t="inlineStr">
        <is>
          <t>average</t>
        </is>
      </c>
      <c r="E57" s="3" t="inlineStr">
        <is>
          <t>Daging olahan (sosis, nugget, daging asap, dsb) matang, per 100 g</t>
        </is>
      </c>
      <c r="F57" s="4">
        <f>SUM(F52:F56)</f>
        <v/>
      </c>
      <c r="G57" s="3" t="inlineStr">
        <is>
          <t>calculated</t>
        </is>
      </c>
      <c r="H57" s="3" t="inlineStr">
        <is>
          <t>-</t>
        </is>
      </c>
      <c r="I57" s="3" t="inlineStr">
        <is>
          <t>weighted average; ingredients missing a nutrient count as zero (values are minimums where a source is incomplete); blank = no ingredient reports it</t>
        </is>
      </c>
      <c r="J57" s="3" t="inlineStr">
        <is>
          <t>-</t>
        </is>
      </c>
      <c r="K57" s="4">
        <f>IF(COUNT(K52:K56)=0,"",SUMPRODUCT($F52:$F56/100,K52:K56))</f>
        <v/>
      </c>
      <c r="L57" s="4">
        <f>IF(COUNT(L52:L56)=0,"",SUMPRODUCT($F52:$F56/100,L52:L56))</f>
        <v/>
      </c>
      <c r="M57" s="4">
        <f>IF(COUNT(M52:M56)=0,"",SUMPRODUCT($F52:$F56/100,M52:M56))</f>
        <v/>
      </c>
      <c r="N57" s="4">
        <f>IF(COUNT(N52:N56)=0,"",SUMPRODUCT($F52:$F56/100,N52:N56))</f>
        <v/>
      </c>
      <c r="O57" s="4">
        <f>IF(COUNT(O52:O56)=0,"",SUMPRODUCT($F52:$F56/100,O52:O56))</f>
        <v/>
      </c>
      <c r="P57" s="4">
        <f>IF(COUNT(P52:P56)=0,"",SUMPRODUCT($F52:$F56/100,P52:P56))</f>
        <v/>
      </c>
      <c r="Q57" s="4">
        <f>IF(COUNT(Q52:Q56)=0,"",SUMPRODUCT($F52:$F56/100,Q52:Q56))</f>
        <v/>
      </c>
      <c r="R57" s="4">
        <f>IF(COUNT(R52:R56)=0,"",SUMPRODUCT($F52:$F56/100,R52:R56))</f>
        <v/>
      </c>
      <c r="S57" s="4">
        <f>IF(COUNT(S52:S56)=0,"",SUMPRODUCT($F52:$F56/100,S52:S56))</f>
        <v/>
      </c>
      <c r="T57" s="4">
        <f>IF(COUNT(T52:T56)=0,"",SUMPRODUCT($F52:$F56/100,T52:T56))</f>
        <v/>
      </c>
      <c r="U57" s="4">
        <f>IF(COUNT(U52:U56)=0,"",SUMPRODUCT($F52:$F56/100,U52:U56))</f>
        <v/>
      </c>
      <c r="V57" s="4">
        <f>IF(COUNT(V52:V56)=0,"",SUMPRODUCT($F52:$F56/100,V52:V56))</f>
        <v/>
      </c>
      <c r="W57" s="4">
        <f>IF(COUNT(W52:W56)=0,"",SUMPRODUCT($F52:$F56/100,W52:W56))</f>
        <v/>
      </c>
      <c r="X57" s="4">
        <f>IF(COUNT(X52:X56)=0,"",SUMPRODUCT($F52:$F56/100,X52:X56))</f>
        <v/>
      </c>
      <c r="Y57" s="4">
        <f>IF(COUNT(Y52:Y56)=0,"",SUMPRODUCT($F52:$F56/100,Y52:Y56))</f>
        <v/>
      </c>
      <c r="Z57" s="4">
        <f>IF(COUNT(Z52:Z56)=0,"",SUMPRODUCT($F52:$F56/100,Z52:Z56))</f>
        <v/>
      </c>
      <c r="AA57" s="4">
        <f>IF(COUNT(AA52:AA56)=0,"",SUMPRODUCT($F52:$F56/100,AA52:AA56))</f>
        <v/>
      </c>
      <c r="AB57" s="4">
        <f>IF(COUNT(AB52:AB56)=0,"",SUMPRODUCT($F52:$F56/100,AB52:AB56))</f>
        <v/>
      </c>
      <c r="AC57" s="4">
        <f>IF(COUNT(AC52:AC56)=0,"",SUMPRODUCT($F52:$F56/100,AC52:AC56))</f>
        <v/>
      </c>
      <c r="AD57" s="4">
        <f>IF(COUNT(AD52:AD56)=0,"",SUMPRODUCT($F52:$F56/100,AD52:AD56))</f>
        <v/>
      </c>
      <c r="AE57" s="4">
        <f>IF(COUNT(AE52:AE56)=0,"",SUMPRODUCT($F52:$F56/100,AE52:AE56))</f>
        <v/>
      </c>
      <c r="AF57" s="4">
        <f>IF(COUNT(AF52:AF56)=0,"",SUMPRODUCT($F52:$F56/100,AF52:AF56))</f>
        <v/>
      </c>
      <c r="AG57" s="4" t="n">
        <v>1</v>
      </c>
    </row>
    <row r="58">
      <c r="A58" t="inlineStr">
        <is>
          <t>172</t>
        </is>
      </c>
      <c r="B58" t="inlineStr">
        <is>
          <t>Bubur ayam</t>
        </is>
      </c>
      <c r="C58" t="inlineStr">
        <is>
          <t>no_match</t>
        </is>
      </c>
      <c r="D58" t="inlineStr">
        <is>
          <t>ingredient</t>
        </is>
      </c>
      <c r="E58" t="inlineStr">
        <is>
          <t>Beras giling, mentah</t>
        </is>
      </c>
      <c r="F58" s="2" t="n">
        <v>14.25</v>
      </c>
      <c r="G58" t="inlineStr">
        <is>
          <t>TKPI</t>
        </is>
      </c>
      <c r="H58" t="inlineStr">
        <is>
          <t>AR001</t>
        </is>
      </c>
      <c r="I58" t="inlineStr">
        <is>
          <t>rice-to-water 1:5 (porridge)</t>
        </is>
      </c>
      <c r="J58" t="inlineStr">
        <is>
          <t>-</t>
        </is>
      </c>
      <c r="K58" s="2" t="n">
        <v>12</v>
      </c>
      <c r="L58" s="2" t="n">
        <v>357</v>
      </c>
      <c r="M58" s="2" t="n">
        <v>8.4</v>
      </c>
      <c r="N58" s="2" t="n">
        <v>1.7</v>
      </c>
      <c r="O58" s="2" t="n">
        <v>77.09999999999999</v>
      </c>
      <c r="P58" s="2" t="n">
        <v>0.2</v>
      </c>
      <c r="Q58" s="2" t="n">
        <v>0.8</v>
      </c>
      <c r="R58" s="2" t="n">
        <v>147</v>
      </c>
      <c r="S58" s="2" t="n">
        <v>81</v>
      </c>
      <c r="T58" s="2" t="n">
        <v>1.8</v>
      </c>
      <c r="U58" s="2" t="n">
        <v>27</v>
      </c>
      <c r="V58" s="2" t="n">
        <v>71</v>
      </c>
      <c r="W58" s="2" t="n">
        <v>0.1</v>
      </c>
      <c r="X58" s="2" t="n">
        <v>0.5</v>
      </c>
      <c r="Y58" s="2" t="n">
        <v>0</v>
      </c>
      <c r="Z58" s="2" t="n">
        <v>0</v>
      </c>
      <c r="AA58" s="2" t="n">
        <v>0</v>
      </c>
      <c r="AB58" s="2" t="n">
        <v>0.2</v>
      </c>
      <c r="AC58" s="2" t="n">
        <v>0.08</v>
      </c>
      <c r="AD58" s="2" t="n">
        <v>2.6</v>
      </c>
      <c r="AE58" s="2" t="n">
        <v>0</v>
      </c>
      <c r="AF58" s="2" t="n">
        <v>100</v>
      </c>
      <c r="AG58" s="2" t="n"/>
    </row>
    <row r="59">
      <c r="A59" t="inlineStr">
        <is>
          <t>172</t>
        </is>
      </c>
      <c r="B59" t="inlineStr">
        <is>
          <t>Bubur ayam</t>
        </is>
      </c>
      <c r="C59" t="inlineStr">
        <is>
          <t>no_match</t>
        </is>
      </c>
      <c r="D59" t="inlineStr">
        <is>
          <t>ingredient</t>
        </is>
      </c>
      <c r="E59" t="inlineStr">
        <is>
          <t>Air (cooking water)</t>
        </is>
      </c>
      <c r="F59" s="2" t="n">
        <v>71.25</v>
      </c>
      <c r="G59" t="inlineStr">
        <is>
          <t>water</t>
        </is>
      </c>
      <c r="H59" t="inlineStr">
        <is>
          <t>-</t>
        </is>
      </c>
      <c r="I59" t="inlineStr">
        <is>
          <t>mineral water, composition as item 175</t>
        </is>
      </c>
      <c r="J59" t="inlineStr">
        <is>
          <t>-</t>
        </is>
      </c>
      <c r="K59" s="2" t="n">
        <v>100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0.914</v>
      </c>
      <c r="S59" s="2" t="n">
        <v>0</v>
      </c>
      <c r="T59" s="2" t="n">
        <v>0</v>
      </c>
      <c r="U59" s="2" t="n">
        <v>3.5</v>
      </c>
      <c r="V59" s="2" t="n">
        <v>0.3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100</v>
      </c>
      <c r="AG59" s="2" t="n">
        <v>0</v>
      </c>
    </row>
    <row r="60">
      <c r="A60" t="inlineStr">
        <is>
          <t>172</t>
        </is>
      </c>
      <c r="B60" t="inlineStr">
        <is>
          <t>Bubur ayam</t>
        </is>
      </c>
      <c r="C60" t="inlineStr">
        <is>
          <t>no_match</t>
        </is>
      </c>
      <c r="D60" t="inlineStr">
        <is>
          <t>ingredient</t>
        </is>
      </c>
      <c r="E60" t="inlineStr">
        <is>
          <t>Ayam, daging, segar (edible flesh)</t>
        </is>
      </c>
      <c r="F60" s="2" t="n">
        <v>7</v>
      </c>
      <c r="G60" t="inlineStr">
        <is>
          <t>TKPI</t>
        </is>
      </c>
      <c r="H60" t="inlineStr">
        <is>
          <t>FR005</t>
        </is>
      </c>
      <c r="I60" t="inlineStr">
        <is>
          <t>proportion refers to flesh added; bdd not reapplied</t>
        </is>
      </c>
      <c r="J60" t="inlineStr">
        <is>
          <t>-</t>
        </is>
      </c>
      <c r="K60" s="2" t="n">
        <v>55.9</v>
      </c>
      <c r="L60" s="2" t="n">
        <v>298</v>
      </c>
      <c r="M60" s="2" t="n">
        <v>18.2</v>
      </c>
      <c r="N60" s="2" t="n">
        <v>25</v>
      </c>
      <c r="O60" s="2" t="n">
        <v>0</v>
      </c>
      <c r="P60" s="2" t="n">
        <v>0</v>
      </c>
      <c r="Q60" s="2" t="n">
        <v>0.9</v>
      </c>
      <c r="R60" s="2" t="n">
        <v>14</v>
      </c>
      <c r="S60" s="2" t="n">
        <v>200</v>
      </c>
      <c r="T60" s="2" t="n">
        <v>1.5</v>
      </c>
      <c r="U60" s="2" t="n">
        <v>109</v>
      </c>
      <c r="V60" s="2" t="n">
        <v>385.9</v>
      </c>
      <c r="W60" s="2" t="n">
        <v>0.11</v>
      </c>
      <c r="X60" s="2" t="n">
        <v>0.6</v>
      </c>
      <c r="Y60" s="2" t="n">
        <v>245</v>
      </c>
      <c r="Z60" s="2" t="n">
        <v>0</v>
      </c>
      <c r="AA60" s="2" t="n"/>
      <c r="AB60" s="2" t="n">
        <v>0.08</v>
      </c>
      <c r="AC60" s="2" t="n">
        <v>0.14</v>
      </c>
      <c r="AD60" s="2" t="n">
        <v>10.4</v>
      </c>
      <c r="AE60" s="2" t="n">
        <v>0</v>
      </c>
      <c r="AF60" s="2" t="n">
        <v>58</v>
      </c>
      <c r="AG60" s="2" t="n"/>
    </row>
    <row r="61">
      <c r="A61" t="inlineStr">
        <is>
          <t>172</t>
        </is>
      </c>
      <c r="B61" t="inlineStr">
        <is>
          <t>Bubur ayam</t>
        </is>
      </c>
      <c r="C61" t="inlineStr">
        <is>
          <t>no_match</t>
        </is>
      </c>
      <c r="D61" t="inlineStr">
        <is>
          <t>ingredient</t>
        </is>
      </c>
      <c r="E61" t="inlineStr">
        <is>
          <t>Minyak kelapa sawit</t>
        </is>
      </c>
      <c r="F61" s="2" t="n">
        <v>1.5</v>
      </c>
      <c r="G61" t="inlineStr">
        <is>
          <t>TKPI</t>
        </is>
      </c>
      <c r="H61" t="inlineStr">
        <is>
          <t>KR012</t>
        </is>
      </c>
      <c r="J61" t="inlineStr">
        <is>
          <t>-</t>
        </is>
      </c>
      <c r="K61" s="2" t="n">
        <v>0</v>
      </c>
      <c r="L61" s="2" t="n">
        <v>884</v>
      </c>
      <c r="M61" s="2" t="n">
        <v>0</v>
      </c>
      <c r="N61" s="2" t="n">
        <v>100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/>
      <c r="Z61" s="2" t="n">
        <v>18181</v>
      </c>
      <c r="AA61" s="2" t="n"/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100</v>
      </c>
      <c r="AG61" s="2" t="n"/>
    </row>
    <row r="62">
      <c r="A62" t="inlineStr">
        <is>
          <t>172</t>
        </is>
      </c>
      <c r="B62" t="inlineStr">
        <is>
          <t>Bubur ayam</t>
        </is>
      </c>
      <c r="C62" t="inlineStr">
        <is>
          <t>no_match</t>
        </is>
      </c>
      <c r="D62" t="inlineStr">
        <is>
          <t>ingredient</t>
        </is>
      </c>
      <c r="E62" t="inlineStr">
        <is>
          <t>Kecap</t>
        </is>
      </c>
      <c r="F62" s="2" t="n">
        <v>1</v>
      </c>
      <c r="G62" t="inlineStr">
        <is>
          <t>TKPI</t>
        </is>
      </c>
      <c r="H62" t="inlineStr">
        <is>
          <t>NP005</t>
        </is>
      </c>
      <c r="J62" t="inlineStr">
        <is>
          <t>-</t>
        </is>
      </c>
      <c r="K62" s="2" t="n">
        <v>63</v>
      </c>
      <c r="L62" s="2" t="n">
        <v>71</v>
      </c>
      <c r="M62" s="2" t="n">
        <v>5.7</v>
      </c>
      <c r="N62" s="2" t="n">
        <v>1.3</v>
      </c>
      <c r="O62" s="2" t="n">
        <v>9</v>
      </c>
      <c r="P62" s="2" t="n">
        <v>0</v>
      </c>
      <c r="Q62" s="2" t="n">
        <v>21</v>
      </c>
      <c r="R62" s="2" t="n">
        <v>123</v>
      </c>
      <c r="S62" s="2" t="n">
        <v>96</v>
      </c>
      <c r="T62" s="2" t="n">
        <v>5.7</v>
      </c>
      <c r="U62" s="2" t="n">
        <v>1114</v>
      </c>
      <c r="V62" s="2" t="n"/>
      <c r="W62" s="2" t="n">
        <v>0.04</v>
      </c>
      <c r="X62" s="2" t="n"/>
      <c r="Y62" s="2" t="n">
        <v>0</v>
      </c>
      <c r="Z62" s="2" t="n"/>
      <c r="AA62" s="2" t="n"/>
      <c r="AB62" s="2" t="n">
        <v>0</v>
      </c>
      <c r="AC62" s="2" t="n"/>
      <c r="AD62" s="2" t="n"/>
      <c r="AE62" s="2" t="n">
        <v>0</v>
      </c>
      <c r="AF62" s="2" t="n">
        <v>100</v>
      </c>
      <c r="AG62" s="2" t="n"/>
    </row>
    <row r="63">
      <c r="A63" t="inlineStr">
        <is>
          <t>172</t>
        </is>
      </c>
      <c r="B63" t="inlineStr">
        <is>
          <t>Bubur ayam</t>
        </is>
      </c>
      <c r="C63" t="inlineStr">
        <is>
          <t>no_match</t>
        </is>
      </c>
      <c r="D63" t="inlineStr">
        <is>
          <t>ingredient</t>
        </is>
      </c>
      <c r="E63" t="inlineStr">
        <is>
          <t>Kerupuk udang goreng</t>
        </is>
      </c>
      <c r="F63" s="2" t="n">
        <v>2</v>
      </c>
      <c r="G63" t="inlineStr">
        <is>
          <t>TKPI</t>
        </is>
      </c>
      <c r="H63" t="inlineStr">
        <is>
          <t>BP045</t>
        </is>
      </c>
      <c r="J63" t="inlineStr">
        <is>
          <t>-</t>
        </is>
      </c>
      <c r="K63" s="2" t="n">
        <v>4.4</v>
      </c>
      <c r="L63" s="2" t="n">
        <v>477</v>
      </c>
      <c r="M63" s="2" t="n">
        <v>4.7</v>
      </c>
      <c r="N63" s="2" t="n">
        <v>20.5</v>
      </c>
      <c r="O63" s="2" t="n">
        <v>68.5</v>
      </c>
      <c r="P63" s="2" t="n">
        <v>5</v>
      </c>
      <c r="Q63" s="2" t="n">
        <v>1.9</v>
      </c>
      <c r="R63" s="2" t="n">
        <v>24</v>
      </c>
      <c r="S63" s="2" t="n">
        <v>188</v>
      </c>
      <c r="T63" s="2" t="n">
        <v>0.9</v>
      </c>
      <c r="U63" s="2" t="n">
        <v>449</v>
      </c>
      <c r="V63" s="2" t="n">
        <v>109</v>
      </c>
      <c r="W63" s="2" t="n">
        <v>0.1</v>
      </c>
      <c r="X63" s="2" t="n">
        <v>0.2</v>
      </c>
      <c r="Y63" s="2" t="n"/>
      <c r="Z63" s="2" t="n">
        <v>0</v>
      </c>
      <c r="AA63" s="2" t="n"/>
      <c r="AB63" s="2" t="n">
        <v>0.2</v>
      </c>
      <c r="AC63" s="2" t="n">
        <v>0</v>
      </c>
      <c r="AD63" s="2" t="n">
        <v>0.9</v>
      </c>
      <c r="AE63" s="2" t="n">
        <v>0</v>
      </c>
      <c r="AF63" s="2" t="n">
        <v>100</v>
      </c>
      <c r="AG63" s="2" t="n"/>
    </row>
    <row r="64">
      <c r="A64" t="inlineStr">
        <is>
          <t>172</t>
        </is>
      </c>
      <c r="B64" t="inlineStr">
        <is>
          <t>Bubur ayam</t>
        </is>
      </c>
      <c r="C64" t="inlineStr">
        <is>
          <t>no_match</t>
        </is>
      </c>
      <c r="D64" t="inlineStr">
        <is>
          <t>ingredient</t>
        </is>
      </c>
      <c r="E64" t="inlineStr">
        <is>
          <t>Seledri, segar</t>
        </is>
      </c>
      <c r="F64" s="2" t="n">
        <v>1</v>
      </c>
      <c r="G64" t="inlineStr">
        <is>
          <t>TKPI</t>
        </is>
      </c>
      <c r="H64" t="inlineStr">
        <is>
          <t>DR147</t>
        </is>
      </c>
      <c r="J64" t="inlineStr">
        <is>
          <t>-</t>
        </is>
      </c>
      <c r="K64" s="2" t="n">
        <v>93</v>
      </c>
      <c r="L64" s="2" t="n">
        <v>23</v>
      </c>
      <c r="M64" s="2" t="n">
        <v>1</v>
      </c>
      <c r="N64" s="2" t="n">
        <v>0.1</v>
      </c>
      <c r="O64" s="2" t="n">
        <v>4.6</v>
      </c>
      <c r="P64" s="2" t="n">
        <v>2</v>
      </c>
      <c r="Q64" s="2" t="n">
        <v>1.3</v>
      </c>
      <c r="R64" s="2" t="n">
        <v>50</v>
      </c>
      <c r="S64" s="2" t="n">
        <v>40</v>
      </c>
      <c r="T64" s="2" t="n">
        <v>1</v>
      </c>
      <c r="U64" s="2" t="n">
        <v>64.5</v>
      </c>
      <c r="V64" s="2" t="n">
        <v>258.8</v>
      </c>
      <c r="W64" s="2" t="n">
        <v>0.08</v>
      </c>
      <c r="X64" s="2" t="n">
        <v>0.4</v>
      </c>
      <c r="Y64" s="2" t="n"/>
      <c r="Z64" s="2" t="n">
        <v>63</v>
      </c>
      <c r="AA64" s="2" t="n">
        <v>130</v>
      </c>
      <c r="AB64" s="2" t="n">
        <v>0.03</v>
      </c>
      <c r="AC64" s="2" t="n">
        <v>0.07000000000000001</v>
      </c>
      <c r="AD64" s="2" t="n">
        <v>0.4</v>
      </c>
      <c r="AE64" s="2" t="n">
        <v>11</v>
      </c>
      <c r="AF64" s="2" t="n">
        <v>63</v>
      </c>
      <c r="AG64" s="2" t="n"/>
    </row>
    <row r="65">
      <c r="A65" t="inlineStr">
        <is>
          <t>172</t>
        </is>
      </c>
      <c r="B65" t="inlineStr">
        <is>
          <t>Bubur ayam</t>
        </is>
      </c>
      <c r="C65" t="inlineStr">
        <is>
          <t>no_match</t>
        </is>
      </c>
      <c r="D65" t="inlineStr">
        <is>
          <t>ingredient</t>
        </is>
      </c>
      <c r="E65" t="inlineStr">
        <is>
          <t>Garam (iodized salt)</t>
        </is>
      </c>
      <c r="F65" s="2" t="n">
        <v>1</v>
      </c>
      <c r="G65" t="inlineStr">
        <is>
          <t>USDA</t>
        </is>
      </c>
      <c r="H65" t="inlineStr">
        <is>
          <t>746775</t>
        </is>
      </c>
      <c r="J65" t="inlineStr">
        <is>
          <t>https://fdc.nal.usda.gov/food-details/746775/nutrients</t>
        </is>
      </c>
      <c r="K65" s="2" t="n">
        <v>0.42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99</v>
      </c>
      <c r="R65" s="2" t="n">
        <v>50</v>
      </c>
      <c r="S65" s="2" t="n">
        <v>0</v>
      </c>
      <c r="T65" s="2" t="n">
        <v>0</v>
      </c>
      <c r="U65" s="2" t="n">
        <v>38700</v>
      </c>
      <c r="V65" s="2" t="n">
        <v>2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100</v>
      </c>
      <c r="AG65" s="2" t="n"/>
    </row>
    <row r="66">
      <c r="A66" t="inlineStr">
        <is>
          <t>172</t>
        </is>
      </c>
      <c r="B66" t="inlineStr">
        <is>
          <t>Bubur ayam</t>
        </is>
      </c>
      <c r="C66" t="inlineStr">
        <is>
          <t>no_match</t>
        </is>
      </c>
      <c r="D66" t="inlineStr">
        <is>
          <t>ingredient</t>
        </is>
      </c>
      <c r="E66" t="inlineStr">
        <is>
          <t>Jahe, segar</t>
        </is>
      </c>
      <c r="F66" s="2" t="n">
        <v>1</v>
      </c>
      <c r="G66" t="inlineStr">
        <is>
          <t>TKPI</t>
        </is>
      </c>
      <c r="H66" t="inlineStr">
        <is>
          <t>NR018</t>
        </is>
      </c>
      <c r="I66" t="inlineStr">
        <is>
          <t>bumbu</t>
        </is>
      </c>
      <c r="J66" t="inlineStr">
        <is>
          <t>-</t>
        </is>
      </c>
      <c r="K66" s="2" t="n">
        <v>86.2</v>
      </c>
      <c r="L66" s="2" t="n">
        <v>51</v>
      </c>
      <c r="M66" s="2" t="n">
        <v>1.5</v>
      </c>
      <c r="N66" s="2" t="n">
        <v>1</v>
      </c>
      <c r="O66" s="2" t="n">
        <v>10.1</v>
      </c>
      <c r="P66" s="2" t="n">
        <v>12</v>
      </c>
      <c r="Q66" s="2" t="n">
        <v>1.2</v>
      </c>
      <c r="R66" s="2" t="n">
        <v>21</v>
      </c>
      <c r="S66" s="2" t="n">
        <v>39</v>
      </c>
      <c r="T66" s="2" t="n">
        <v>1.6</v>
      </c>
      <c r="U66" s="2" t="n">
        <v>12</v>
      </c>
      <c r="V66" s="2" t="n">
        <v>441.7</v>
      </c>
      <c r="W66" s="2" t="n">
        <v>0.48</v>
      </c>
      <c r="X66" s="2" t="n">
        <v>0.7</v>
      </c>
      <c r="Y66" s="2" t="n"/>
      <c r="Z66" s="2" t="n">
        <v>0</v>
      </c>
      <c r="AA66" s="2" t="n">
        <v>9</v>
      </c>
      <c r="AB66" s="2" t="n">
        <v>0.02</v>
      </c>
      <c r="AC66" s="2" t="n">
        <v>0.17</v>
      </c>
      <c r="AD66" s="2" t="n">
        <v>3.3</v>
      </c>
      <c r="AE66" s="2" t="n">
        <v>4</v>
      </c>
      <c r="AF66" s="2" t="n">
        <v>97</v>
      </c>
      <c r="AG66" s="2" t="n"/>
    </row>
    <row r="67">
      <c r="A67" s="3" t="inlineStr">
        <is>
          <t>172</t>
        </is>
      </c>
      <c r="B67" s="3" t="inlineStr">
        <is>
          <t>Bubur ayam</t>
        </is>
      </c>
      <c r="C67" s="3" t="inlineStr">
        <is>
          <t>no_match</t>
        </is>
      </c>
      <c r="D67" s="3" t="inlineStr">
        <is>
          <t>average</t>
        </is>
      </c>
      <c r="E67" s="3" t="inlineStr">
        <is>
          <t>Bubur ayam, per 100 g</t>
        </is>
      </c>
      <c r="F67" s="4">
        <f>SUM(F58:F66)</f>
        <v/>
      </c>
      <c r="G67" s="3" t="inlineStr">
        <is>
          <t>calculated</t>
        </is>
      </c>
      <c r="H67" s="3" t="inlineStr">
        <is>
          <t>-</t>
        </is>
      </c>
      <c r="I67" s="3" t="inlineStr">
        <is>
          <t>weighted average; ingredients missing a nutrient count as zero (values are minimums where a source is incomplete); blank = no ingredient reports it</t>
        </is>
      </c>
      <c r="J67" s="3" t="inlineStr">
        <is>
          <t>-</t>
        </is>
      </c>
      <c r="K67" s="4">
        <f>IF(COUNT(K58:K66)=0,"",SUMPRODUCT($F58:$F66/100,K58:K66))</f>
        <v/>
      </c>
      <c r="L67" s="4">
        <f>IF(COUNT(L58:L66)=0,"",SUMPRODUCT($F58:$F66/100,L58:L66))</f>
        <v/>
      </c>
      <c r="M67" s="4">
        <f>IF(COUNT(M58:M66)=0,"",SUMPRODUCT($F58:$F66/100,M58:M66))</f>
        <v/>
      </c>
      <c r="N67" s="4">
        <f>IF(COUNT(N58:N66)=0,"",SUMPRODUCT($F58:$F66/100,N58:N66))</f>
        <v/>
      </c>
      <c r="O67" s="4">
        <f>IF(COUNT(O58:O66)=0,"",SUMPRODUCT($F58:$F66/100,O58:O66))</f>
        <v/>
      </c>
      <c r="P67" s="4">
        <f>IF(COUNT(P58:P66)=0,"",SUMPRODUCT($F58:$F66/100,P58:P66))</f>
        <v/>
      </c>
      <c r="Q67" s="4">
        <f>IF(COUNT(Q58:Q66)=0,"",SUMPRODUCT($F58:$F66/100,Q58:Q66))</f>
        <v/>
      </c>
      <c r="R67" s="4">
        <f>IF(COUNT(R58:R66)=0,"",SUMPRODUCT($F58:$F66/100,R58:R66))</f>
        <v/>
      </c>
      <c r="S67" s="4">
        <f>IF(COUNT(S58:S66)=0,"",SUMPRODUCT($F58:$F66/100,S58:S66))</f>
        <v/>
      </c>
      <c r="T67" s="4">
        <f>IF(COUNT(T58:T66)=0,"",SUMPRODUCT($F58:$F66/100,T58:T66))</f>
        <v/>
      </c>
      <c r="U67" s="4">
        <f>IF(COUNT(U58:U66)=0,"",SUMPRODUCT($F58:$F66/100,U58:U66))</f>
        <v/>
      </c>
      <c r="V67" s="4">
        <f>IF(COUNT(V58:V66)=0,"",SUMPRODUCT($F58:$F66/100,V58:V66))</f>
        <v/>
      </c>
      <c r="W67" s="4">
        <f>IF(COUNT(W58:W66)=0,"",SUMPRODUCT($F58:$F66/100,W58:W66))</f>
        <v/>
      </c>
      <c r="X67" s="4">
        <f>IF(COUNT(X58:X66)=0,"",SUMPRODUCT($F58:$F66/100,X58:X66))</f>
        <v/>
      </c>
      <c r="Y67" s="4">
        <f>IF(COUNT(Y58:Y66)=0,"",SUMPRODUCT($F58:$F66/100,Y58:Y66))</f>
        <v/>
      </c>
      <c r="Z67" s="4">
        <f>IF(COUNT(Z58:Z66)=0,"",SUMPRODUCT($F58:$F66/100,Z58:Z66))</f>
        <v/>
      </c>
      <c r="AA67" s="4">
        <f>IF(COUNT(AA58:AA66)=0,"",SUMPRODUCT($F58:$F66/100,AA58:AA66))</f>
        <v/>
      </c>
      <c r="AB67" s="4">
        <f>IF(COUNT(AB58:AB66)=0,"",SUMPRODUCT($F58:$F66/100,AB58:AB66))</f>
        <v/>
      </c>
      <c r="AC67" s="4">
        <f>IF(COUNT(AC58:AC66)=0,"",SUMPRODUCT($F58:$F66/100,AC58:AC66))</f>
        <v/>
      </c>
      <c r="AD67" s="4">
        <f>IF(COUNT(AD58:AD66)=0,"",SUMPRODUCT($F58:$F66/100,AD58:AD66))</f>
        <v/>
      </c>
      <c r="AE67" s="4">
        <f>IF(COUNT(AE58:AE66)=0,"",SUMPRODUCT($F58:$F66/100,AE58:AE66))</f>
        <v/>
      </c>
      <c r="AF67" s="4">
        <f>IF(COUNT(AF58:AF66)=0,"",SUMPRODUCT($F58:$F66/100,AF58:AF66))</f>
        <v/>
      </c>
      <c r="AG67" s="4" t="n">
        <v>1</v>
      </c>
    </row>
    <row r="68">
      <c r="A68" t="inlineStr">
        <is>
          <t>173</t>
        </is>
      </c>
      <c r="B68" t="inlineStr">
        <is>
          <t>Siomay, batagor</t>
        </is>
      </c>
      <c r="C68" t="inlineStr">
        <is>
          <t>no_match</t>
        </is>
      </c>
      <c r="D68" t="inlineStr">
        <is>
          <t>ingredient</t>
        </is>
      </c>
      <c r="E68" t="inlineStr">
        <is>
          <t>Ikan tenggiri, segar (fish book raw tenggiri, item 19)</t>
        </is>
      </c>
      <c r="F68" s="2" t="n">
        <v>22</v>
      </c>
      <c r="G68" t="inlineStr">
        <is>
          <t>AFCD</t>
        </is>
      </c>
      <c r="H68" t="inlineStr">
        <is>
          <t>19</t>
        </is>
      </c>
      <c r="I68" t="inlineStr">
        <is>
          <t>main fish component, from the current fish book (fish_book_afcd.csv, 4 Sep 2026; indonesia_fct_aquatic_food.csv item 19). The fish book carries no water or total carotene, so this row contributes zero to those two columns and the item values are minimums there. bdd 51.7% is the fish book edible portion for raw tenggiri.</t>
        </is>
      </c>
      <c r="J68" t="inlineStr">
        <is>
          <t>local: fish_book_afcd.csv (1_master/clean)</t>
        </is>
      </c>
      <c r="K68" s="2" t="n"/>
      <c r="L68" s="2" t="n">
        <v>120</v>
      </c>
      <c r="M68" s="2" t="n">
        <v>19.6</v>
      </c>
      <c r="N68" s="2" t="n">
        <v>4.6</v>
      </c>
      <c r="O68" s="2" t="n">
        <v>0</v>
      </c>
      <c r="P68" s="2" t="n">
        <v>0</v>
      </c>
      <c r="Q68" s="2" t="n">
        <v>1.5</v>
      </c>
      <c r="R68" s="2" t="n">
        <v>18.35</v>
      </c>
      <c r="S68" s="2" t="n">
        <v>231.6</v>
      </c>
      <c r="T68" s="2" t="n">
        <v>0.65</v>
      </c>
      <c r="U68" s="2" t="n">
        <v>51.6</v>
      </c>
      <c r="V68" s="2" t="n">
        <v>373.5</v>
      </c>
      <c r="W68" s="2" t="n">
        <v>0.0313</v>
      </c>
      <c r="X68" s="2" t="n">
        <v>0.78</v>
      </c>
      <c r="Y68" s="2" t="n">
        <v>12</v>
      </c>
      <c r="Z68" s="2" t="n">
        <v>0</v>
      </c>
      <c r="AA68" s="2" t="n"/>
      <c r="AB68" s="2" t="n">
        <v>0.08</v>
      </c>
      <c r="AC68" s="2" t="n">
        <v>90</v>
      </c>
      <c r="AD68" s="2" t="n">
        <v>12</v>
      </c>
      <c r="AE68" s="2" t="n">
        <v>0</v>
      </c>
      <c r="AF68" s="2" t="n">
        <v>51.7067264573991</v>
      </c>
      <c r="AG68" s="2" t="n">
        <v>0.893715</v>
      </c>
    </row>
    <row r="69">
      <c r="A69" t="inlineStr">
        <is>
          <t>173</t>
        </is>
      </c>
      <c r="B69" t="inlineStr">
        <is>
          <t>Siomay, batagor</t>
        </is>
      </c>
      <c r="C69" t="inlineStr">
        <is>
          <t>no_match</t>
        </is>
      </c>
      <c r="D69" t="inlineStr">
        <is>
          <t>ingredient</t>
        </is>
      </c>
      <c r="E69" t="inlineStr">
        <is>
          <t>Tepung tapioka</t>
        </is>
      </c>
      <c r="F69" s="2" t="n">
        <v>18</v>
      </c>
      <c r="G69" t="inlineStr">
        <is>
          <t>TKPI</t>
        </is>
      </c>
      <c r="H69" t="inlineStr">
        <is>
          <t>BP070</t>
        </is>
      </c>
      <c r="J69" t="inlineStr">
        <is>
          <t>-</t>
        </is>
      </c>
      <c r="K69" s="2" t="n">
        <v>9.1</v>
      </c>
      <c r="L69" s="2" t="n">
        <v>363</v>
      </c>
      <c r="M69" s="2" t="n">
        <v>1.1</v>
      </c>
      <c r="N69" s="2" t="n">
        <v>0.5</v>
      </c>
      <c r="O69" s="2" t="n">
        <v>88.2</v>
      </c>
      <c r="P69" s="2" t="n">
        <v>0.9</v>
      </c>
      <c r="Q69" s="2" t="n">
        <v>1.1</v>
      </c>
      <c r="R69" s="2" t="n">
        <v>84</v>
      </c>
      <c r="S69" s="2" t="n">
        <v>125</v>
      </c>
      <c r="T69" s="2" t="n">
        <v>1</v>
      </c>
      <c r="U69" s="2" t="n">
        <v>1</v>
      </c>
      <c r="V69" s="2" t="n">
        <v>7.1</v>
      </c>
      <c r="W69" s="2" t="n">
        <v>0</v>
      </c>
      <c r="X69" s="2" t="n">
        <v>0.1</v>
      </c>
      <c r="Y69" s="2" t="n"/>
      <c r="Z69" s="2" t="n">
        <v>0</v>
      </c>
      <c r="AA69" s="2" t="n"/>
      <c r="AB69" s="2" t="n">
        <v>0.04</v>
      </c>
      <c r="AC69" s="2" t="n">
        <v>0</v>
      </c>
      <c r="AD69" s="2" t="n">
        <v>0.4</v>
      </c>
      <c r="AE69" s="2" t="n">
        <v>0</v>
      </c>
      <c r="AF69" s="2" t="n">
        <v>100</v>
      </c>
      <c r="AG69" s="2" t="n"/>
    </row>
    <row r="70">
      <c r="A70" t="inlineStr">
        <is>
          <t>173</t>
        </is>
      </c>
      <c r="B70" t="inlineStr">
        <is>
          <t>Siomay, batagor</t>
        </is>
      </c>
      <c r="C70" t="inlineStr">
        <is>
          <t>no_match</t>
        </is>
      </c>
      <c r="D70" t="inlineStr">
        <is>
          <t>ingredient</t>
        </is>
      </c>
      <c r="E70" t="inlineStr">
        <is>
          <t>Tahu, mentah</t>
        </is>
      </c>
      <c r="F70" s="2" t="n">
        <v>15</v>
      </c>
      <c r="G70" t="inlineStr">
        <is>
          <t>TKPI</t>
        </is>
      </c>
      <c r="H70" t="inlineStr">
        <is>
          <t>CP061</t>
        </is>
      </c>
      <c r="I70" t="inlineStr">
        <is>
          <t>main 2</t>
        </is>
      </c>
      <c r="J70" t="inlineStr">
        <is>
          <t>-</t>
        </is>
      </c>
      <c r="K70" s="2" t="n">
        <v>82.2</v>
      </c>
      <c r="L70" s="2" t="n">
        <v>80</v>
      </c>
      <c r="M70" s="2" t="n">
        <v>10.9</v>
      </c>
      <c r="N70" s="2" t="n">
        <v>4.7</v>
      </c>
      <c r="O70" s="2" t="n">
        <v>0.8</v>
      </c>
      <c r="P70" s="2" t="n">
        <v>0.1</v>
      </c>
      <c r="Q70" s="2" t="n">
        <v>1.4</v>
      </c>
      <c r="R70" s="2" t="n">
        <v>223</v>
      </c>
      <c r="S70" s="2" t="n">
        <v>183</v>
      </c>
      <c r="T70" s="2" t="n">
        <v>3.4</v>
      </c>
      <c r="U70" s="2" t="n">
        <v>2</v>
      </c>
      <c r="V70" s="2" t="n">
        <v>50.6</v>
      </c>
      <c r="W70" s="2" t="n">
        <v>0.19</v>
      </c>
      <c r="X70" s="2" t="n">
        <v>0.8</v>
      </c>
      <c r="Y70" s="2" t="n"/>
      <c r="Z70" s="2" t="n">
        <v>118</v>
      </c>
      <c r="AA70" s="2" t="n"/>
      <c r="AB70" s="2" t="n">
        <v>0.01</v>
      </c>
      <c r="AC70" s="2" t="n">
        <v>0.08</v>
      </c>
      <c r="AD70" s="2" t="n">
        <v>0.1</v>
      </c>
      <c r="AE70" s="2" t="n"/>
      <c r="AF70" s="2" t="n">
        <v>100</v>
      </c>
      <c r="AG70" s="2" t="n"/>
    </row>
    <row r="71">
      <c r="A71" t="inlineStr">
        <is>
          <t>173</t>
        </is>
      </c>
      <c r="B71" t="inlineStr">
        <is>
          <t>Siomay, batagor</t>
        </is>
      </c>
      <c r="C71" t="inlineStr">
        <is>
          <t>no_match</t>
        </is>
      </c>
      <c r="D71" t="inlineStr">
        <is>
          <t>ingredient</t>
        </is>
      </c>
      <c r="E71" t="inlineStr">
        <is>
          <t>Kentang, segar</t>
        </is>
      </c>
      <c r="F71" s="2" t="n">
        <v>10</v>
      </c>
      <c r="G71" t="inlineStr">
        <is>
          <t>TKPI</t>
        </is>
      </c>
      <c r="H71" t="inlineStr">
        <is>
          <t>BR013</t>
        </is>
      </c>
      <c r="J71" t="inlineStr">
        <is>
          <t>-</t>
        </is>
      </c>
      <c r="K71" s="2" t="n">
        <v>83.40000000000001</v>
      </c>
      <c r="L71" s="2" t="n">
        <v>62</v>
      </c>
      <c r="M71" s="2" t="n">
        <v>2.1</v>
      </c>
      <c r="N71" s="2" t="n">
        <v>0.2</v>
      </c>
      <c r="O71" s="2" t="n">
        <v>13.5</v>
      </c>
      <c r="P71" s="2" t="n">
        <v>0.5</v>
      </c>
      <c r="Q71" s="2" t="n">
        <v>0.8</v>
      </c>
      <c r="R71" s="2" t="n">
        <v>63</v>
      </c>
      <c r="S71" s="2" t="n">
        <v>58</v>
      </c>
      <c r="T71" s="2" t="n">
        <v>0.7</v>
      </c>
      <c r="U71" s="2" t="n">
        <v>7</v>
      </c>
      <c r="V71" s="2" t="n">
        <v>396</v>
      </c>
      <c r="W71" s="2" t="n">
        <v>0.4</v>
      </c>
      <c r="X71" s="2" t="n">
        <v>0.3</v>
      </c>
      <c r="Y71" s="2" t="n">
        <v>0</v>
      </c>
      <c r="Z71" s="2" t="n">
        <v>0</v>
      </c>
      <c r="AA71" s="2" t="n">
        <v>0</v>
      </c>
      <c r="AB71" s="2" t="n">
        <v>0.09</v>
      </c>
      <c r="AC71" s="2" t="n">
        <v>0.1</v>
      </c>
      <c r="AD71" s="2" t="n">
        <v>1</v>
      </c>
      <c r="AE71" s="2" t="n">
        <v>21</v>
      </c>
      <c r="AF71" s="2" t="n">
        <v>85</v>
      </c>
      <c r="AG71" s="2" t="n"/>
    </row>
    <row r="72">
      <c r="A72" t="inlineStr">
        <is>
          <t>173</t>
        </is>
      </c>
      <c r="B72" t="inlineStr">
        <is>
          <t>Siomay, batagor</t>
        </is>
      </c>
      <c r="C72" t="inlineStr">
        <is>
          <t>no_match</t>
        </is>
      </c>
      <c r="D72" t="inlineStr">
        <is>
          <t>ingredient</t>
        </is>
      </c>
      <c r="E72" t="inlineStr">
        <is>
          <t>Daun kubis, segar</t>
        </is>
      </c>
      <c r="F72" s="2" t="n">
        <v>6</v>
      </c>
      <c r="G72" t="inlineStr">
        <is>
          <t>TKPI</t>
        </is>
      </c>
      <c r="H72" t="inlineStr">
        <is>
          <t>DR044</t>
        </is>
      </c>
      <c r="J72" t="inlineStr">
        <is>
          <t>-</t>
        </is>
      </c>
      <c r="K72" s="2" t="n">
        <v>86.2</v>
      </c>
      <c r="L72" s="2" t="n">
        <v>51</v>
      </c>
      <c r="M72" s="2" t="n">
        <v>2.5</v>
      </c>
      <c r="N72" s="2" t="n">
        <v>1.1</v>
      </c>
      <c r="O72" s="2" t="n">
        <v>8</v>
      </c>
      <c r="P72" s="2" t="n">
        <v>3.4</v>
      </c>
      <c r="Q72" s="2" t="n">
        <v>2.2</v>
      </c>
      <c r="R72" s="2" t="n">
        <v>100</v>
      </c>
      <c r="S72" s="2" t="n">
        <v>50</v>
      </c>
      <c r="T72" s="2" t="n">
        <v>3.4</v>
      </c>
      <c r="U72" s="2" t="n">
        <v>50</v>
      </c>
      <c r="V72" s="2" t="n">
        <v>100</v>
      </c>
      <c r="W72" s="2" t="n">
        <v>0.9</v>
      </c>
      <c r="X72" s="2" t="n">
        <v>0.6</v>
      </c>
      <c r="Y72" s="2" t="n"/>
      <c r="Z72" s="2" t="n">
        <v>9999</v>
      </c>
      <c r="AA72" s="2" t="n"/>
      <c r="AB72" s="2" t="n">
        <v>0.4</v>
      </c>
      <c r="AC72" s="2" t="n">
        <v>0.1</v>
      </c>
      <c r="AD72" s="2" t="n">
        <v>0.2</v>
      </c>
      <c r="AE72" s="2" t="n">
        <v>16</v>
      </c>
      <c r="AF72" s="2" t="n">
        <v>75</v>
      </c>
      <c r="AG72" s="2" t="n"/>
    </row>
    <row r="73">
      <c r="A73" t="inlineStr">
        <is>
          <t>173</t>
        </is>
      </c>
      <c r="B73" t="inlineStr">
        <is>
          <t>Siomay, batagor</t>
        </is>
      </c>
      <c r="C73" t="inlineStr">
        <is>
          <t>no_match</t>
        </is>
      </c>
      <c r="D73" t="inlineStr">
        <is>
          <t>ingredient</t>
        </is>
      </c>
      <c r="E73" t="inlineStr">
        <is>
          <t>Telur ayam ras, segar</t>
        </is>
      </c>
      <c r="F73" s="2" t="n">
        <v>4</v>
      </c>
      <c r="G73" t="inlineStr">
        <is>
          <t>TKPI</t>
        </is>
      </c>
      <c r="H73" t="inlineStr">
        <is>
          <t>HR002</t>
        </is>
      </c>
      <c r="I73" t="inlineStr">
        <is>
          <t>binder</t>
        </is>
      </c>
      <c r="J73" t="inlineStr">
        <is>
          <t>-</t>
        </is>
      </c>
      <c r="K73" s="2" t="n">
        <v>74.3</v>
      </c>
      <c r="L73" s="2" t="n">
        <v>154</v>
      </c>
      <c r="M73" s="2" t="n">
        <v>12.4</v>
      </c>
      <c r="N73" s="2" t="n">
        <v>10.8</v>
      </c>
      <c r="O73" s="2" t="n">
        <v>0.7</v>
      </c>
      <c r="P73" s="2" t="n">
        <v>0</v>
      </c>
      <c r="Q73" s="2" t="n">
        <v>0.8</v>
      </c>
      <c r="R73" s="2" t="n">
        <v>86</v>
      </c>
      <c r="S73" s="2" t="n">
        <v>258</v>
      </c>
      <c r="T73" s="2" t="n">
        <v>3</v>
      </c>
      <c r="U73" s="2" t="n">
        <v>142</v>
      </c>
      <c r="V73" s="2" t="n">
        <v>118.5</v>
      </c>
      <c r="W73" s="2" t="n">
        <v>0.16</v>
      </c>
      <c r="X73" s="2" t="n">
        <v>1</v>
      </c>
      <c r="Y73" s="2" t="n">
        <v>61</v>
      </c>
      <c r="Z73" s="2" t="n">
        <v>22</v>
      </c>
      <c r="AA73" s="2" t="n">
        <v>104</v>
      </c>
      <c r="AB73" s="2" t="n">
        <v>0.12</v>
      </c>
      <c r="AC73" s="2" t="n">
        <v>0.38</v>
      </c>
      <c r="AD73" s="2" t="n">
        <v>0.2</v>
      </c>
      <c r="AE73" s="2" t="n">
        <v>0</v>
      </c>
      <c r="AF73" s="2" t="n">
        <v>89</v>
      </c>
      <c r="AG73" s="2" t="n"/>
    </row>
    <row r="74">
      <c r="A74" t="inlineStr">
        <is>
          <t>173</t>
        </is>
      </c>
      <c r="B74" t="inlineStr">
        <is>
          <t>Siomay, batagor</t>
        </is>
      </c>
      <c r="C74" t="inlineStr">
        <is>
          <t>no_match</t>
        </is>
      </c>
      <c r="D74" t="inlineStr">
        <is>
          <t>ingredient</t>
        </is>
      </c>
      <c r="E74" t="inlineStr">
        <is>
          <t>Bawang putih, segar</t>
        </is>
      </c>
      <c r="F74" s="2" t="n">
        <v>1</v>
      </c>
      <c r="G74" t="inlineStr">
        <is>
          <t>TKPI</t>
        </is>
      </c>
      <c r="H74" t="inlineStr">
        <is>
          <t>NR008</t>
        </is>
      </c>
      <c r="I74" t="inlineStr">
        <is>
          <t>bumbu</t>
        </is>
      </c>
      <c r="J74" t="inlineStr">
        <is>
          <t>-</t>
        </is>
      </c>
      <c r="K74" s="2" t="n">
        <v>71</v>
      </c>
      <c r="L74" s="2" t="n">
        <v>112</v>
      </c>
      <c r="M74" s="2" t="n">
        <v>4.5</v>
      </c>
      <c r="N74" s="2" t="n">
        <v>0.2</v>
      </c>
      <c r="O74" s="2" t="n">
        <v>23.1</v>
      </c>
      <c r="P74" s="2" t="n">
        <v>0.6</v>
      </c>
      <c r="Q74" s="2" t="n">
        <v>1.8</v>
      </c>
      <c r="R74" s="2" t="n">
        <v>42</v>
      </c>
      <c r="S74" s="2" t="n">
        <v>134</v>
      </c>
      <c r="T74" s="2" t="n">
        <v>1</v>
      </c>
      <c r="U74" s="2" t="n">
        <v>46</v>
      </c>
      <c r="V74" s="2" t="n">
        <v>665.7</v>
      </c>
      <c r="W74" s="2" t="n">
        <v>0.09</v>
      </c>
      <c r="X74" s="2" t="n">
        <v>0.4</v>
      </c>
      <c r="Y74" s="2" t="n"/>
      <c r="Z74" s="2" t="n">
        <v>0</v>
      </c>
      <c r="AA74" s="2" t="n"/>
      <c r="AB74" s="2" t="n">
        <v>0.22</v>
      </c>
      <c r="AC74" s="2" t="n">
        <v>0.07000000000000001</v>
      </c>
      <c r="AD74" s="2" t="n">
        <v>0.3</v>
      </c>
      <c r="AE74" s="2" t="n">
        <v>15</v>
      </c>
      <c r="AF74" s="2" t="n">
        <v>88</v>
      </c>
      <c r="AG74" s="2" t="n"/>
    </row>
    <row r="75">
      <c r="A75" t="inlineStr">
        <is>
          <t>173</t>
        </is>
      </c>
      <c r="B75" t="inlineStr">
        <is>
          <t>Siomay, batagor</t>
        </is>
      </c>
      <c r="C75" t="inlineStr">
        <is>
          <t>no_match</t>
        </is>
      </c>
      <c r="D75" t="inlineStr">
        <is>
          <t>ingredient</t>
        </is>
      </c>
      <c r="E75" t="inlineStr">
        <is>
          <t>Minyak kelapa sawit (frying, batagor)</t>
        </is>
      </c>
      <c r="F75" s="2" t="n">
        <v>5</v>
      </c>
      <c r="G75" t="inlineStr">
        <is>
          <t>TKPI</t>
        </is>
      </c>
      <c r="H75" t="inlineStr">
        <is>
          <t>KR012</t>
        </is>
      </c>
      <c r="J75" t="inlineStr">
        <is>
          <t>-</t>
        </is>
      </c>
      <c r="K75" s="2" t="n">
        <v>0</v>
      </c>
      <c r="L75" s="2" t="n">
        <v>884</v>
      </c>
      <c r="M75" s="2" t="n">
        <v>0</v>
      </c>
      <c r="N75" s="2" t="n">
        <v>100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/>
      <c r="Z75" s="2" t="n">
        <v>18181</v>
      </c>
      <c r="AA75" s="2" t="n"/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100</v>
      </c>
      <c r="AG75" s="2" t="n"/>
    </row>
    <row r="76">
      <c r="A76" t="inlineStr">
        <is>
          <t>173</t>
        </is>
      </c>
      <c r="B76" t="inlineStr">
        <is>
          <t>Siomay, batagor</t>
        </is>
      </c>
      <c r="C76" t="inlineStr">
        <is>
          <t>no_match</t>
        </is>
      </c>
      <c r="D76" t="inlineStr">
        <is>
          <t>ingredient</t>
        </is>
      </c>
      <c r="E76" t="inlineStr">
        <is>
          <t>Peanut satay sauce (Thai Wonder)</t>
        </is>
      </c>
      <c r="F76" s="2" t="n">
        <v>10</v>
      </c>
      <c r="G76" t="inlineStr">
        <is>
          <t>USDA</t>
        </is>
      </c>
      <c r="H76" t="inlineStr">
        <is>
          <t>1852651</t>
        </is>
      </c>
      <c r="I76" t="inlineStr">
        <is>
          <t>peanut dipping sauce</t>
        </is>
      </c>
      <c r="J76" t="inlineStr">
        <is>
          <t>https://fdc.nal.usda.gov/food-details/1852651/nutrients</t>
        </is>
      </c>
      <c r="K76" s="2" t="n"/>
      <c r="L76" s="2" t="n">
        <v>158</v>
      </c>
      <c r="M76" s="2" t="n">
        <v>5.26</v>
      </c>
      <c r="N76" s="2" t="n">
        <v>2.63</v>
      </c>
      <c r="O76" s="2" t="n">
        <v>22.8</v>
      </c>
      <c r="P76" s="2" t="n">
        <v>1.8</v>
      </c>
      <c r="Q76" s="2" t="n"/>
      <c r="R76" s="2" t="n">
        <v>0</v>
      </c>
      <c r="S76" s="2" t="n"/>
      <c r="T76" s="2" t="n">
        <v>0.63</v>
      </c>
      <c r="U76" s="2" t="n">
        <v>421</v>
      </c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>
        <v>100</v>
      </c>
      <c r="AG76" s="2" t="n"/>
    </row>
    <row r="77">
      <c r="A77" t="inlineStr">
        <is>
          <t>173</t>
        </is>
      </c>
      <c r="B77" t="inlineStr">
        <is>
          <t>Siomay, batagor</t>
        </is>
      </c>
      <c r="C77" t="inlineStr">
        <is>
          <t>no_match</t>
        </is>
      </c>
      <c r="D77" t="inlineStr">
        <is>
          <t>ingredient</t>
        </is>
      </c>
      <c r="E77" t="inlineStr">
        <is>
          <t>Garam (iodized salt)</t>
        </is>
      </c>
      <c r="F77" s="2" t="n">
        <v>0.5</v>
      </c>
      <c r="G77" t="inlineStr">
        <is>
          <t>USDA</t>
        </is>
      </c>
      <c r="H77" t="inlineStr">
        <is>
          <t>746775</t>
        </is>
      </c>
      <c r="J77" t="inlineStr">
        <is>
          <t>https://fdc.nal.usda.gov/food-details/746775/nutrients</t>
        </is>
      </c>
      <c r="K77" s="2" t="n">
        <v>0.42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99</v>
      </c>
      <c r="R77" s="2" t="n">
        <v>50</v>
      </c>
      <c r="S77" s="2" t="n">
        <v>0</v>
      </c>
      <c r="T77" s="2" t="n">
        <v>0</v>
      </c>
      <c r="U77" s="2" t="n">
        <v>38700</v>
      </c>
      <c r="V77" s="2" t="n">
        <v>2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100</v>
      </c>
      <c r="AG77" s="2" t="n"/>
    </row>
    <row r="78">
      <c r="A78" t="inlineStr">
        <is>
          <t>173</t>
        </is>
      </c>
      <c r="B78" t="inlineStr">
        <is>
          <t>Siomay, batagor</t>
        </is>
      </c>
      <c r="C78" t="inlineStr">
        <is>
          <t>no_match</t>
        </is>
      </c>
      <c r="D78" t="inlineStr">
        <is>
          <t>ingredient</t>
        </is>
      </c>
      <c r="E78" t="inlineStr">
        <is>
          <t>Air (steaming loss margin)</t>
        </is>
      </c>
      <c r="F78" s="2" t="n">
        <v>8.5</v>
      </c>
      <c r="G78" t="inlineStr">
        <is>
          <t>water</t>
        </is>
      </c>
      <c r="H78" t="inlineStr">
        <is>
          <t>-</t>
        </is>
      </c>
      <c r="I78" t="inlineStr">
        <is>
          <t>mineral water, composition as item 175</t>
        </is>
      </c>
      <c r="J78" t="inlineStr">
        <is>
          <t>-</t>
        </is>
      </c>
      <c r="K78" s="2" t="n">
        <v>100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0.914</v>
      </c>
      <c r="S78" s="2" t="n">
        <v>0</v>
      </c>
      <c r="T78" s="2" t="n">
        <v>0</v>
      </c>
      <c r="U78" s="2" t="n">
        <v>3.5</v>
      </c>
      <c r="V78" s="2" t="n">
        <v>0.3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100</v>
      </c>
      <c r="AG78" s="2" t="n">
        <v>0</v>
      </c>
    </row>
    <row r="79">
      <c r="A79" s="3" t="inlineStr">
        <is>
          <t>173</t>
        </is>
      </c>
      <c r="B79" s="3" t="inlineStr">
        <is>
          <t>Siomay, batagor</t>
        </is>
      </c>
      <c r="C79" s="3" t="inlineStr">
        <is>
          <t>no_match</t>
        </is>
      </c>
      <c r="D79" s="3" t="inlineStr">
        <is>
          <t>average</t>
        </is>
      </c>
      <c r="E79" s="3" t="inlineStr">
        <is>
          <t>Siomay, batagor, per 100 g</t>
        </is>
      </c>
      <c r="F79" s="4">
        <f>SUM(F68:F78)</f>
        <v/>
      </c>
      <c r="G79" s="3" t="inlineStr">
        <is>
          <t>calculated</t>
        </is>
      </c>
      <c r="H79" s="3" t="inlineStr">
        <is>
          <t>-</t>
        </is>
      </c>
      <c r="I79" s="3" t="inlineStr">
        <is>
          <t>weighted average; ingredients missing a nutrient count as zero (values are minimums where a source is incomplete); blank = no ingredient reports it</t>
        </is>
      </c>
      <c r="J79" s="3" t="inlineStr">
        <is>
          <t>-</t>
        </is>
      </c>
      <c r="K79" s="4">
        <f>IF(COUNT(K68:K78)=0,"",SUMPRODUCT($F68:$F78/100,K68:K78))</f>
        <v/>
      </c>
      <c r="L79" s="4">
        <f>IF(COUNT(L68:L78)=0,"",SUMPRODUCT($F68:$F78/100,L68:L78))</f>
        <v/>
      </c>
      <c r="M79" s="4">
        <f>IF(COUNT(M68:M78)=0,"",SUMPRODUCT($F68:$F78/100,M68:M78))</f>
        <v/>
      </c>
      <c r="N79" s="4">
        <f>IF(COUNT(N68:N78)=0,"",SUMPRODUCT($F68:$F78/100,N68:N78))</f>
        <v/>
      </c>
      <c r="O79" s="4">
        <f>IF(COUNT(O68:O78)=0,"",SUMPRODUCT($F68:$F78/100,O68:O78))</f>
        <v/>
      </c>
      <c r="P79" s="4">
        <f>IF(COUNT(P68:P78)=0,"",SUMPRODUCT($F68:$F78/100,P68:P78))</f>
        <v/>
      </c>
      <c r="Q79" s="4">
        <f>IF(COUNT(Q68:Q78)=0,"",SUMPRODUCT($F68:$F78/100,Q68:Q78))</f>
        <v/>
      </c>
      <c r="R79" s="4">
        <f>IF(COUNT(R68:R78)=0,"",SUMPRODUCT($F68:$F78/100,R68:R78))</f>
        <v/>
      </c>
      <c r="S79" s="4">
        <f>IF(COUNT(S68:S78)=0,"",SUMPRODUCT($F68:$F78/100,S68:S78))</f>
        <v/>
      </c>
      <c r="T79" s="4">
        <f>IF(COUNT(T68:T78)=0,"",SUMPRODUCT($F68:$F78/100,T68:T78))</f>
        <v/>
      </c>
      <c r="U79" s="4">
        <f>IF(COUNT(U68:U78)=0,"",SUMPRODUCT($F68:$F78/100,U68:U78))</f>
        <v/>
      </c>
      <c r="V79" s="4">
        <f>IF(COUNT(V68:V78)=0,"",SUMPRODUCT($F68:$F78/100,V68:V78))</f>
        <v/>
      </c>
      <c r="W79" s="4">
        <f>IF(COUNT(W68:W78)=0,"",SUMPRODUCT($F68:$F78/100,W68:W78))</f>
        <v/>
      </c>
      <c r="X79" s="4">
        <f>IF(COUNT(X68:X78)=0,"",SUMPRODUCT($F68:$F78/100,X68:X78))</f>
        <v/>
      </c>
      <c r="Y79" s="4">
        <f>IF(COUNT(Y68:Y78)=0,"",SUMPRODUCT($F68:$F78/100,Y68:Y78))</f>
        <v/>
      </c>
      <c r="Z79" s="4">
        <f>IF(COUNT(Z68:Z78)=0,"",SUMPRODUCT($F68:$F78/100,Z68:Z78))</f>
        <v/>
      </c>
      <c r="AA79" s="4">
        <f>IF(COUNT(AA68:AA78)=0,"",SUMPRODUCT($F68:$F78/100,AA68:AA78))</f>
        <v/>
      </c>
      <c r="AB79" s="4">
        <f>IF(COUNT(AB68:AB78)=0,"",SUMPRODUCT($F68:$F78/100,AB68:AB78))</f>
        <v/>
      </c>
      <c r="AC79" s="4">
        <f>IF(COUNT(AC68:AC78)=0,"",SUMPRODUCT($F68:$F78/100,AC68:AC78))</f>
        <v/>
      </c>
      <c r="AD79" s="4">
        <f>IF(COUNT(AD68:AD78)=0,"",SUMPRODUCT($F68:$F78/100,AD68:AD78))</f>
        <v/>
      </c>
      <c r="AE79" s="4">
        <f>IF(COUNT(AE68:AE78)=0,"",SUMPRODUCT($F68:$F78/100,AE68:AE78))</f>
        <v/>
      </c>
      <c r="AF79" s="4">
        <f t="array" ref="AF79">IF(COUNT(AF68:AF78)=0,"",SUMPRODUCT($F68:$F78/100,AF68:AF78))</f>
        <v/>
      </c>
      <c r="AG79" s="4">
        <f>SUMPRODUCT($F68:$F78/100,AG68:AG78)</f>
        <v/>
      </c>
    </row>
    <row r="80">
      <c r="A80" t="inlineStr">
        <is>
          <t>175</t>
        </is>
      </c>
      <c r="B80" t="inlineStr">
        <is>
          <t>Air kemasan</t>
        </is>
      </c>
      <c r="C80" t="inlineStr">
        <is>
          <t>no_match</t>
        </is>
      </c>
      <c r="D80" t="inlineStr">
        <is>
          <t>ingredient</t>
        </is>
      </c>
      <c r="E80" t="inlineStr">
        <is>
          <t>Water, bottled mineral (Le Minerale as reference brand)</t>
        </is>
      </c>
      <c r="F80" s="2" t="n">
        <v>100</v>
      </c>
      <c r="G80" t="inlineStr">
        <is>
          <t>water</t>
        </is>
      </c>
      <c r="H80" t="inlineStr">
        <is>
          <t>-</t>
        </is>
      </c>
      <c r="I80" t="inlineStr">
        <is>
          <t>naturally occurring minerals, captured from the product's nutrition facts (mg/L): Ca 9.14, Mg 5.87, Na 35.0, K 3.0, nitrate 1.55, bicarbonate 118.0, sulfate 3.06, chloride &lt;0.01, TDS 177, pH 7.2-7.7. Only calcium, sodium and potassium have columns in this panel; the leading brand (Aqua) names its minerals but publishes no amounts, so the second brand's table stands in</t>
        </is>
      </c>
      <c r="J80" t="inlineStr">
        <is>
          <t>-</t>
        </is>
      </c>
      <c r="K80" s="2" t="n">
        <v>100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0.914</v>
      </c>
      <c r="S80" s="2" t="n">
        <v>0</v>
      </c>
      <c r="T80" s="2" t="n">
        <v>0</v>
      </c>
      <c r="U80" s="2" t="n">
        <v>3.5</v>
      </c>
      <c r="V80" s="2" t="n">
        <v>0.3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100</v>
      </c>
      <c r="AG80" s="2" t="n">
        <v>0</v>
      </c>
    </row>
    <row r="81">
      <c r="A81" s="3" t="inlineStr">
        <is>
          <t>175</t>
        </is>
      </c>
      <c r="B81" s="3" t="inlineStr">
        <is>
          <t>Air kemasan</t>
        </is>
      </c>
      <c r="C81" s="3" t="inlineStr">
        <is>
          <t>no_match</t>
        </is>
      </c>
      <c r="D81" s="3" t="inlineStr">
        <is>
          <t>average</t>
        </is>
      </c>
      <c r="E81" s="3" t="inlineStr">
        <is>
          <t>Air kemasan, per 100 g</t>
        </is>
      </c>
      <c r="F81" s="4">
        <f>SUM(F80:F80)</f>
        <v/>
      </c>
      <c r="G81" s="3" t="inlineStr">
        <is>
          <t>calculated</t>
        </is>
      </c>
      <c r="H81" s="3" t="inlineStr">
        <is>
          <t>-</t>
        </is>
      </c>
      <c r="I81" s="3" t="inlineStr">
        <is>
          <t>weighted average; ingredients missing a nutrient count as zero (values are minimums where a source is incomplete); blank = no ingredient reports it</t>
        </is>
      </c>
      <c r="J81" s="3" t="inlineStr">
        <is>
          <t>-</t>
        </is>
      </c>
      <c r="K81" s="4">
        <f>IF(COUNT(K80:K80)=0,"",SUMPRODUCT($F80:$F80/100,K80:K80))</f>
        <v/>
      </c>
      <c r="L81" s="4">
        <f>IF(COUNT(L80:L80)=0,"",SUMPRODUCT($F80:$F80/100,L80:L80))</f>
        <v/>
      </c>
      <c r="M81" s="4">
        <f>IF(COUNT(M80:M80)=0,"",SUMPRODUCT($F80:$F80/100,M80:M80))</f>
        <v/>
      </c>
      <c r="N81" s="4">
        <f>IF(COUNT(N80:N80)=0,"",SUMPRODUCT($F80:$F80/100,N80:N80))</f>
        <v/>
      </c>
      <c r="O81" s="4">
        <f>IF(COUNT(O80:O80)=0,"",SUMPRODUCT($F80:$F80/100,O80:O80))</f>
        <v/>
      </c>
      <c r="P81" s="4">
        <f>IF(COUNT(P80:P80)=0,"",SUMPRODUCT($F80:$F80/100,P80:P80))</f>
        <v/>
      </c>
      <c r="Q81" s="4">
        <f>IF(COUNT(Q80:Q80)=0,"",SUMPRODUCT($F80:$F80/100,Q80:Q80))</f>
        <v/>
      </c>
      <c r="R81" s="4">
        <f>IF(COUNT(R80:R80)=0,"",SUMPRODUCT($F80:$F80/100,R80:R80))</f>
        <v/>
      </c>
      <c r="S81" s="4">
        <f>IF(COUNT(S80:S80)=0,"",SUMPRODUCT($F80:$F80/100,S80:S80))</f>
        <v/>
      </c>
      <c r="T81" s="4">
        <f>IF(COUNT(T80:T80)=0,"",SUMPRODUCT($F80:$F80/100,T80:T80))</f>
        <v/>
      </c>
      <c r="U81" s="4">
        <f>IF(COUNT(U80:U80)=0,"",SUMPRODUCT($F80:$F80/100,U80:U80))</f>
        <v/>
      </c>
      <c r="V81" s="4">
        <f>IF(COUNT(V80:V80)=0,"",SUMPRODUCT($F80:$F80/100,V80:V80))</f>
        <v/>
      </c>
      <c r="W81" s="4">
        <f>IF(COUNT(W80:W80)=0,"",SUMPRODUCT($F80:$F80/100,W80:W80))</f>
        <v/>
      </c>
      <c r="X81" s="4">
        <f>IF(COUNT(X80:X80)=0,"",SUMPRODUCT($F80:$F80/100,X80:X80))</f>
        <v/>
      </c>
      <c r="Y81" s="4">
        <f>IF(COUNT(Y80:Y80)=0,"",SUMPRODUCT($F80:$F80/100,Y80:Y80))</f>
        <v/>
      </c>
      <c r="Z81" s="4">
        <f>IF(COUNT(Z80:Z80)=0,"",SUMPRODUCT($F80:$F80/100,Z80:Z80))</f>
        <v/>
      </c>
      <c r="AA81" s="4">
        <f>IF(COUNT(AA80:AA80)=0,"",SUMPRODUCT($F80:$F80/100,AA80:AA80))</f>
        <v/>
      </c>
      <c r="AB81" s="4">
        <f>IF(COUNT(AB80:AB80)=0,"",SUMPRODUCT($F80:$F80/100,AB80:AB80))</f>
        <v/>
      </c>
      <c r="AC81" s="4">
        <f>IF(COUNT(AC80:AC80)=0,"",SUMPRODUCT($F80:$F80/100,AC80:AC80))</f>
        <v/>
      </c>
      <c r="AD81" s="4">
        <f>IF(COUNT(AD80:AD80)=0,"",SUMPRODUCT($F80:$F80/100,AD80:AD80))</f>
        <v/>
      </c>
      <c r="AE81" s="4">
        <f>IF(COUNT(AE80:AE80)=0,"",SUMPRODUCT($F80:$F80/100,AE80:AE80))</f>
        <v/>
      </c>
      <c r="AF81" s="4">
        <f>IF(COUNT(AF80:AF80)=0,"",SUMPRODUCT($F80:$F80/100,AF80:AF80))</f>
        <v/>
      </c>
      <c r="AG81" s="4" t="n">
        <v>1</v>
      </c>
    </row>
    <row r="82">
      <c r="A82" t="inlineStr">
        <is>
          <t>176</t>
        </is>
      </c>
      <c r="B82" t="inlineStr">
        <is>
          <t>Air kemasan galon</t>
        </is>
      </c>
      <c r="C82" t="inlineStr">
        <is>
          <t>no_match</t>
        </is>
      </c>
      <c r="D82" t="inlineStr">
        <is>
          <t>ingredient</t>
        </is>
      </c>
      <c r="E82" t="inlineStr">
        <is>
          <t>Water, bottled mineral (19 L; Le Minerale as reference brand)</t>
        </is>
      </c>
      <c r="F82" s="2" t="n">
        <v>100</v>
      </c>
      <c r="G82" t="inlineStr">
        <is>
          <t>water</t>
        </is>
      </c>
      <c r="H82" t="inlineStr">
        <is>
          <t>-</t>
        </is>
      </c>
      <c r="I82" t="inlineStr">
        <is>
          <t>same composition as item 175</t>
        </is>
      </c>
      <c r="J82" t="inlineStr">
        <is>
          <t>-</t>
        </is>
      </c>
      <c r="K82" s="2" t="n">
        <v>100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0.914</v>
      </c>
      <c r="S82" s="2" t="n">
        <v>0</v>
      </c>
      <c r="T82" s="2" t="n">
        <v>0</v>
      </c>
      <c r="U82" s="2" t="n">
        <v>3.5</v>
      </c>
      <c r="V82" s="2" t="n">
        <v>0.3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100</v>
      </c>
      <c r="AG82" s="2" t="n">
        <v>0</v>
      </c>
    </row>
    <row r="83">
      <c r="A83" s="3" t="inlineStr">
        <is>
          <t>176</t>
        </is>
      </c>
      <c r="B83" s="3" t="inlineStr">
        <is>
          <t>Air kemasan galon</t>
        </is>
      </c>
      <c r="C83" s="3" t="inlineStr">
        <is>
          <t>no_match</t>
        </is>
      </c>
      <c r="D83" s="3" t="inlineStr">
        <is>
          <t>average</t>
        </is>
      </c>
      <c r="E83" s="3" t="inlineStr">
        <is>
          <t>Air kemasan galon, per 100 g</t>
        </is>
      </c>
      <c r="F83" s="4">
        <f>SUM(F82:F82)</f>
        <v/>
      </c>
      <c r="G83" s="3" t="inlineStr">
        <is>
          <t>calculated</t>
        </is>
      </c>
      <c r="H83" s="3" t="inlineStr">
        <is>
          <t>-</t>
        </is>
      </c>
      <c r="I83" s="3" t="inlineStr">
        <is>
          <t>weighted average; ingredients missing a nutrient count as zero (values are minimums where a source is incomplete); blank = no ingredient reports it</t>
        </is>
      </c>
      <c r="J83" s="3" t="inlineStr">
        <is>
          <t>-</t>
        </is>
      </c>
      <c r="K83" s="4">
        <f>IF(COUNT(K82:K82)=0,"",SUMPRODUCT($F82:$F82/100,K82:K82))</f>
        <v/>
      </c>
      <c r="L83" s="4">
        <f>IF(COUNT(L82:L82)=0,"",SUMPRODUCT($F82:$F82/100,L82:L82))</f>
        <v/>
      </c>
      <c r="M83" s="4">
        <f>IF(COUNT(M82:M82)=0,"",SUMPRODUCT($F82:$F82/100,M82:M82))</f>
        <v/>
      </c>
      <c r="N83" s="4">
        <f>IF(COUNT(N82:N82)=0,"",SUMPRODUCT($F82:$F82/100,N82:N82))</f>
        <v/>
      </c>
      <c r="O83" s="4">
        <f>IF(COUNT(O82:O82)=0,"",SUMPRODUCT($F82:$F82/100,O82:O82))</f>
        <v/>
      </c>
      <c r="P83" s="4">
        <f>IF(COUNT(P82:P82)=0,"",SUMPRODUCT($F82:$F82/100,P82:P82))</f>
        <v/>
      </c>
      <c r="Q83" s="4">
        <f>IF(COUNT(Q82:Q82)=0,"",SUMPRODUCT($F82:$F82/100,Q82:Q82))</f>
        <v/>
      </c>
      <c r="R83" s="4">
        <f>IF(COUNT(R82:R82)=0,"",SUMPRODUCT($F82:$F82/100,R82:R82))</f>
        <v/>
      </c>
      <c r="S83" s="4">
        <f>IF(COUNT(S82:S82)=0,"",SUMPRODUCT($F82:$F82/100,S82:S82))</f>
        <v/>
      </c>
      <c r="T83" s="4">
        <f>IF(COUNT(T82:T82)=0,"",SUMPRODUCT($F82:$F82/100,T82:T82))</f>
        <v/>
      </c>
      <c r="U83" s="4">
        <f>IF(COUNT(U82:U82)=0,"",SUMPRODUCT($F82:$F82/100,U82:U82))</f>
        <v/>
      </c>
      <c r="V83" s="4">
        <f>IF(COUNT(V82:V82)=0,"",SUMPRODUCT($F82:$F82/100,V82:V82))</f>
        <v/>
      </c>
      <c r="W83" s="4">
        <f>IF(COUNT(W82:W82)=0,"",SUMPRODUCT($F82:$F82/100,W82:W82))</f>
        <v/>
      </c>
      <c r="X83" s="4">
        <f>IF(COUNT(X82:X82)=0,"",SUMPRODUCT($F82:$F82/100,X82:X82))</f>
        <v/>
      </c>
      <c r="Y83" s="4">
        <f>IF(COUNT(Y82:Y82)=0,"",SUMPRODUCT($F82:$F82/100,Y82:Y82))</f>
        <v/>
      </c>
      <c r="Z83" s="4">
        <f>IF(COUNT(Z82:Z82)=0,"",SUMPRODUCT($F82:$F82/100,Z82:Z82))</f>
        <v/>
      </c>
      <c r="AA83" s="4">
        <f>IF(COUNT(AA82:AA82)=0,"",SUMPRODUCT($F82:$F82/100,AA82:AA82))</f>
        <v/>
      </c>
      <c r="AB83" s="4">
        <f>IF(COUNT(AB82:AB82)=0,"",SUMPRODUCT($F82:$F82/100,AB82:AB82))</f>
        <v/>
      </c>
      <c r="AC83" s="4">
        <f>IF(COUNT(AC82:AC82)=0,"",SUMPRODUCT($F82:$F82/100,AC82:AC82))</f>
        <v/>
      </c>
      <c r="AD83" s="4">
        <f>IF(COUNT(AD82:AD82)=0,"",SUMPRODUCT($F82:$F82/100,AD82:AD82))</f>
        <v/>
      </c>
      <c r="AE83" s="4">
        <f>IF(COUNT(AE82:AE82)=0,"",SUMPRODUCT($F82:$F82/100,AE82:AE82))</f>
        <v/>
      </c>
      <c r="AF83" s="4">
        <f>IF(COUNT(AF82:AF82)=0,"",SUMPRODUCT($F82:$F82/100,AF82:AF82))</f>
        <v/>
      </c>
      <c r="AG83" s="4" t="n">
        <v>1</v>
      </c>
    </row>
    <row r="84">
      <c r="A84" t="inlineStr">
        <is>
          <t>181</t>
        </is>
      </c>
      <c r="B84" t="inlineStr">
        <is>
          <t>Es lainnya</t>
        </is>
      </c>
      <c r="C84" t="inlineStr">
        <is>
          <t>no_match</t>
        </is>
      </c>
      <c r="D84" t="inlineStr">
        <is>
          <t>ingredient</t>
        </is>
      </c>
      <c r="E84" t="inlineStr">
        <is>
          <t>Es cincau: Grass jelly drink with honey (Hong Van)</t>
        </is>
      </c>
      <c r="F84" s="2" t="n">
        <v>19.33333333333333</v>
      </c>
      <c r="G84" t="inlineStr">
        <is>
          <t>USDA</t>
        </is>
      </c>
      <c r="H84" t="inlineStr">
        <is>
          <t>498708</t>
        </is>
      </c>
      <c r="I84" t="inlineStr">
        <is>
          <t>no cincau entry in any FCD - a canned grass jelly drink stands in; values per 100 ml, incl. its sugar and water</t>
        </is>
      </c>
      <c r="J84" t="inlineStr">
        <is>
          <t>https://fdc.nal.usda.gov/food-details/498708/nutrients</t>
        </is>
      </c>
      <c r="K84" s="2" t="n"/>
      <c r="L84" s="2" t="n">
        <v>42.9</v>
      </c>
      <c r="M84" s="2" t="n">
        <v>0</v>
      </c>
      <c r="N84" s="2" t="n">
        <v>0</v>
      </c>
      <c r="O84" s="2" t="n">
        <v>10.7</v>
      </c>
      <c r="P84" s="2" t="n">
        <v>0</v>
      </c>
      <c r="Q84" s="2" t="n"/>
      <c r="R84" s="2" t="n">
        <v>13</v>
      </c>
      <c r="S84" s="2" t="n"/>
      <c r="T84" s="2" t="n"/>
      <c r="U84" s="2" t="n">
        <v>25</v>
      </c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>
        <v>100</v>
      </c>
      <c r="AG84" s="2" t="n"/>
    </row>
    <row r="85">
      <c r="A85" t="inlineStr">
        <is>
          <t>181</t>
        </is>
      </c>
      <c r="B85" t="inlineStr">
        <is>
          <t>Es lainnya</t>
        </is>
      </c>
      <c r="C85" t="inlineStr">
        <is>
          <t>no_match</t>
        </is>
      </c>
      <c r="D85" t="inlineStr">
        <is>
          <t>ingredient</t>
        </is>
      </c>
      <c r="E85" t="inlineStr">
        <is>
          <t>Es cincau: Santan (dengan air)</t>
        </is>
      </c>
      <c r="F85" s="2" t="n">
        <v>3.333333333333333</v>
      </c>
      <c r="G85" t="inlineStr">
        <is>
          <t>TKPI</t>
        </is>
      </c>
      <c r="H85" t="inlineStr">
        <is>
          <t>KP003</t>
        </is>
      </c>
      <c r="J85" t="inlineStr">
        <is>
          <t>-</t>
        </is>
      </c>
      <c r="K85" s="2" t="n">
        <v>80</v>
      </c>
      <c r="L85" s="2" t="n">
        <v>122</v>
      </c>
      <c r="M85" s="2" t="n">
        <v>2</v>
      </c>
      <c r="N85" s="2" t="n">
        <v>10</v>
      </c>
      <c r="O85" s="2" t="n">
        <v>7.6</v>
      </c>
      <c r="P85" s="2" t="n">
        <v>1.4</v>
      </c>
      <c r="Q85" s="2" t="n">
        <v>0.4</v>
      </c>
      <c r="R85" s="2" t="n">
        <v>25</v>
      </c>
      <c r="S85" s="2" t="n">
        <v>30</v>
      </c>
      <c r="T85" s="2" t="n">
        <v>0.1</v>
      </c>
      <c r="U85" s="2" t="n">
        <v>9</v>
      </c>
      <c r="V85" s="2" t="n">
        <v>162.4</v>
      </c>
      <c r="W85" s="2" t="n">
        <v>0.16</v>
      </c>
      <c r="X85" s="2" t="n">
        <v>0.4</v>
      </c>
      <c r="Y85" s="2" t="n">
        <v>0</v>
      </c>
      <c r="Z85" s="2" t="n"/>
      <c r="AA85" s="2" t="n"/>
      <c r="AB85" s="2" t="n">
        <v>0.02</v>
      </c>
      <c r="AC85" s="2" t="n">
        <v>0</v>
      </c>
      <c r="AD85" s="2" t="n">
        <v>0.5</v>
      </c>
      <c r="AE85" s="2" t="n">
        <v>2</v>
      </c>
      <c r="AF85" s="2" t="n">
        <v>100</v>
      </c>
      <c r="AG85" s="2" t="n"/>
    </row>
    <row r="86">
      <c r="A86" t="inlineStr">
        <is>
          <t>181</t>
        </is>
      </c>
      <c r="B86" t="inlineStr">
        <is>
          <t>Es lainnya</t>
        </is>
      </c>
      <c r="C86" t="inlineStr">
        <is>
          <t>no_match</t>
        </is>
      </c>
      <c r="D86" t="inlineStr">
        <is>
          <t>ingredient</t>
        </is>
      </c>
      <c r="E86" t="inlineStr">
        <is>
          <t>Es cincau: Gula kelapa</t>
        </is>
      </c>
      <c r="F86" s="2" t="n">
        <v>2.666666666666667</v>
      </c>
      <c r="G86" t="inlineStr">
        <is>
          <t>TKPI</t>
        </is>
      </c>
      <c r="H86" t="inlineStr">
        <is>
          <t>MP006</t>
        </is>
      </c>
      <c r="J86" t="inlineStr">
        <is>
          <t>-</t>
        </is>
      </c>
      <c r="K86" s="2" t="n">
        <v>10</v>
      </c>
      <c r="L86" s="2" t="n">
        <v>386</v>
      </c>
      <c r="M86" s="2" t="n">
        <v>3</v>
      </c>
      <c r="N86" s="2" t="n">
        <v>10</v>
      </c>
      <c r="O86" s="2" t="n">
        <v>76</v>
      </c>
      <c r="P86" s="2" t="n">
        <v>0</v>
      </c>
      <c r="Q86" s="2" t="n">
        <v>1</v>
      </c>
      <c r="R86" s="2" t="n">
        <v>76</v>
      </c>
      <c r="S86" s="2" t="n">
        <v>37</v>
      </c>
      <c r="T86" s="2" t="n">
        <v>2.6</v>
      </c>
      <c r="U86" s="2" t="n">
        <v>2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/>
      <c r="AB86" s="2" t="n">
        <v>0</v>
      </c>
      <c r="AC86" s="2" t="n">
        <v>0.34</v>
      </c>
      <c r="AD86" s="2" t="n">
        <v>0.5</v>
      </c>
      <c r="AE86" s="2" t="n">
        <v>0</v>
      </c>
      <c r="AF86" s="2" t="n">
        <v>100</v>
      </c>
      <c r="AG86" s="2" t="n"/>
    </row>
    <row r="87">
      <c r="A87" t="inlineStr">
        <is>
          <t>181</t>
        </is>
      </c>
      <c r="B87" t="inlineStr">
        <is>
          <t>Es lainnya</t>
        </is>
      </c>
      <c r="C87" t="inlineStr">
        <is>
          <t>no_match</t>
        </is>
      </c>
      <c r="D87" t="inlineStr">
        <is>
          <t>ingredient</t>
        </is>
      </c>
      <c r="E87" t="inlineStr">
        <is>
          <t>Es cincau: Nangka masak pohon, segar</t>
        </is>
      </c>
      <c r="F87" s="2" t="n">
        <v>1.333333333333333</v>
      </c>
      <c r="G87" t="inlineStr">
        <is>
          <t>TKPI</t>
        </is>
      </c>
      <c r="H87" t="inlineStr">
        <is>
          <t>ER071</t>
        </is>
      </c>
      <c r="J87" t="inlineStr">
        <is>
          <t>-</t>
        </is>
      </c>
      <c r="K87" s="2" t="n">
        <v>70</v>
      </c>
      <c r="L87" s="2" t="n">
        <v>106</v>
      </c>
      <c r="M87" s="2" t="n">
        <v>1.2</v>
      </c>
      <c r="N87" s="2" t="n">
        <v>0.3</v>
      </c>
      <c r="O87" s="2" t="n">
        <v>27.6</v>
      </c>
      <c r="P87" s="2" t="n">
        <v>3.7</v>
      </c>
      <c r="Q87" s="2" t="n">
        <v>2.7</v>
      </c>
      <c r="R87" s="2" t="n">
        <v>20</v>
      </c>
      <c r="S87" s="2" t="n">
        <v>19</v>
      </c>
      <c r="T87" s="2" t="n">
        <v>0.9</v>
      </c>
      <c r="U87" s="2" t="n">
        <v>2</v>
      </c>
      <c r="V87" s="2" t="n">
        <v>407</v>
      </c>
      <c r="W87" s="2" t="n">
        <v>246.58</v>
      </c>
      <c r="X87" s="2" t="n">
        <v>1.4</v>
      </c>
      <c r="Y87" s="2" t="n"/>
      <c r="Z87" s="2" t="n">
        <v>149</v>
      </c>
      <c r="AA87" s="2" t="n">
        <v>330</v>
      </c>
      <c r="AB87" s="2" t="n">
        <v>0.07000000000000001</v>
      </c>
      <c r="AC87" s="2" t="n">
        <v>0.1</v>
      </c>
      <c r="AD87" s="2" t="n">
        <v>1</v>
      </c>
      <c r="AE87" s="2" t="n">
        <v>7</v>
      </c>
      <c r="AF87" s="2" t="n">
        <v>28</v>
      </c>
      <c r="AG87" s="2" t="n"/>
    </row>
    <row r="88">
      <c r="A88" t="inlineStr">
        <is>
          <t>181</t>
        </is>
      </c>
      <c r="B88" t="inlineStr">
        <is>
          <t>Es lainnya</t>
        </is>
      </c>
      <c r="C88" t="inlineStr">
        <is>
          <t>no_match</t>
        </is>
      </c>
      <c r="D88" t="inlineStr">
        <is>
          <t>ingredient</t>
        </is>
      </c>
      <c r="E88" t="inlineStr">
        <is>
          <t>Es cincau: Air / es</t>
        </is>
      </c>
      <c r="F88" s="2" t="n">
        <v>6.666666666666667</v>
      </c>
      <c r="G88" t="inlineStr">
        <is>
          <t>water</t>
        </is>
      </c>
      <c r="H88" t="inlineStr">
        <is>
          <t>-</t>
        </is>
      </c>
      <c r="I88" t="inlineStr">
        <is>
          <t>mineral water, composition as item 175</t>
        </is>
      </c>
      <c r="J88" t="inlineStr">
        <is>
          <t>-</t>
        </is>
      </c>
      <c r="K88" s="2" t="n">
        <v>100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0.914</v>
      </c>
      <c r="S88" s="2" t="n">
        <v>0</v>
      </c>
      <c r="T88" s="2" t="n">
        <v>0</v>
      </c>
      <c r="U88" s="2" t="n">
        <v>3.5</v>
      </c>
      <c r="V88" s="2" t="n">
        <v>0.3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100</v>
      </c>
      <c r="AG88" s="2" t="n">
        <v>0</v>
      </c>
    </row>
    <row r="89">
      <c r="A89" t="inlineStr">
        <is>
          <t>181</t>
        </is>
      </c>
      <c r="B89" t="inlineStr">
        <is>
          <t>Es lainnya</t>
        </is>
      </c>
      <c r="C89" t="inlineStr">
        <is>
          <t>no_match</t>
        </is>
      </c>
      <c r="D89" t="inlineStr">
        <is>
          <t>ingredient</t>
        </is>
      </c>
      <c r="E89" t="inlineStr">
        <is>
          <t>Es campur: Air / es</t>
        </is>
      </c>
      <c r="F89" s="2" t="n">
        <v>7</v>
      </c>
      <c r="G89" t="inlineStr">
        <is>
          <t>water</t>
        </is>
      </c>
      <c r="H89" t="inlineStr">
        <is>
          <t>-</t>
        </is>
      </c>
      <c r="I89" t="inlineStr">
        <is>
          <t>mineral water, composition as item 175</t>
        </is>
      </c>
      <c r="J89" t="inlineStr">
        <is>
          <t>-</t>
        </is>
      </c>
      <c r="K89" s="2" t="n">
        <v>100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0.914</v>
      </c>
      <c r="S89" s="2" t="n">
        <v>0</v>
      </c>
      <c r="T89" s="2" t="n">
        <v>0</v>
      </c>
      <c r="U89" s="2" t="n">
        <v>3.5</v>
      </c>
      <c r="V89" s="2" t="n">
        <v>0.3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100</v>
      </c>
      <c r="AG89" s="2" t="n">
        <v>0</v>
      </c>
    </row>
    <row r="90">
      <c r="A90" t="inlineStr">
        <is>
          <t>181</t>
        </is>
      </c>
      <c r="B90" t="inlineStr">
        <is>
          <t>Es lainnya</t>
        </is>
      </c>
      <c r="C90" t="inlineStr">
        <is>
          <t>no_match</t>
        </is>
      </c>
      <c r="D90" t="inlineStr">
        <is>
          <t>ingredient</t>
        </is>
      </c>
      <c r="E90" t="inlineStr">
        <is>
          <t>Es campur: Kelapa muda, air, segar</t>
        </is>
      </c>
      <c r="F90" s="2" t="n">
        <v>5</v>
      </c>
      <c r="G90" t="inlineStr">
        <is>
          <t>TKPI</t>
        </is>
      </c>
      <c r="H90" t="inlineStr">
        <is>
          <t>QR001</t>
        </is>
      </c>
      <c r="J90" t="inlineStr">
        <is>
          <t>-</t>
        </is>
      </c>
      <c r="K90" s="2" t="n">
        <v>95</v>
      </c>
      <c r="L90" s="2" t="n">
        <v>16</v>
      </c>
      <c r="M90" s="2" t="n">
        <v>0.1</v>
      </c>
      <c r="N90" s="2" t="n">
        <v>0.4</v>
      </c>
      <c r="O90" s="2" t="n">
        <v>3</v>
      </c>
      <c r="P90" s="2" t="n">
        <v>0</v>
      </c>
      <c r="Q90" s="2" t="n">
        <v>0.4</v>
      </c>
      <c r="R90" s="2" t="n">
        <v>15</v>
      </c>
      <c r="S90" s="2" t="n">
        <v>8</v>
      </c>
      <c r="T90" s="2" t="n">
        <v>0.2</v>
      </c>
      <c r="U90" s="2" t="n">
        <v>1</v>
      </c>
      <c r="V90" s="2" t="n">
        <v>149</v>
      </c>
      <c r="W90" s="2" t="n">
        <v>0.04</v>
      </c>
      <c r="X90" s="2" t="n">
        <v>0.1</v>
      </c>
      <c r="Y90" s="2" t="n">
        <v>0</v>
      </c>
      <c r="Z90" s="2" t="n">
        <v>0</v>
      </c>
      <c r="AA90" s="2" t="n"/>
      <c r="AB90" s="2" t="n">
        <v>0</v>
      </c>
      <c r="AC90" s="2" t="n">
        <v>0</v>
      </c>
      <c r="AD90" s="2" t="n">
        <v>0</v>
      </c>
      <c r="AE90" s="2" t="n">
        <v>1</v>
      </c>
      <c r="AF90" s="2" t="n">
        <v>100</v>
      </c>
      <c r="AG90" s="2" t="n"/>
    </row>
    <row r="91">
      <c r="A91" t="inlineStr">
        <is>
          <t>181</t>
        </is>
      </c>
      <c r="B91" t="inlineStr">
        <is>
          <t>Es lainnya</t>
        </is>
      </c>
      <c r="C91" t="inlineStr">
        <is>
          <t>no_match</t>
        </is>
      </c>
      <c r="D91" t="inlineStr">
        <is>
          <t>ingredient</t>
        </is>
      </c>
      <c r="E91" t="inlineStr">
        <is>
          <t>Es campur: Kelapa muda, daging, segar</t>
        </is>
      </c>
      <c r="F91" s="2" t="n">
        <v>4</v>
      </c>
      <c r="G91" t="inlineStr">
        <is>
          <t>TKPI</t>
        </is>
      </c>
      <c r="H91" t="inlineStr">
        <is>
          <t>ER046</t>
        </is>
      </c>
      <c r="J91" t="inlineStr">
        <is>
          <t>-</t>
        </is>
      </c>
      <c r="K91" s="2" t="n">
        <v>83</v>
      </c>
      <c r="L91" s="2" t="n">
        <v>68</v>
      </c>
      <c r="M91" s="2" t="n">
        <v>1</v>
      </c>
      <c r="N91" s="2" t="n">
        <v>0.9</v>
      </c>
      <c r="O91" s="2" t="n">
        <v>14</v>
      </c>
      <c r="P91" s="2" t="n">
        <v>0</v>
      </c>
      <c r="Q91" s="2" t="n">
        <v>0.8</v>
      </c>
      <c r="R91" s="2" t="n">
        <v>7</v>
      </c>
      <c r="S91" s="2" t="n">
        <v>30</v>
      </c>
      <c r="T91" s="2" t="n">
        <v>1</v>
      </c>
      <c r="U91" s="2" t="n">
        <v>18</v>
      </c>
      <c r="V91" s="2" t="n">
        <v>564.6</v>
      </c>
      <c r="W91" s="2" t="n">
        <v>0.14</v>
      </c>
      <c r="X91" s="2" t="n">
        <v>0.3</v>
      </c>
      <c r="Y91" s="2" t="n">
        <v>0</v>
      </c>
      <c r="Z91" s="2" t="n">
        <v>0</v>
      </c>
      <c r="AA91" s="2" t="n"/>
      <c r="AB91" s="2" t="n">
        <v>0.06</v>
      </c>
      <c r="AC91" s="2" t="n">
        <v>0.02</v>
      </c>
      <c r="AD91" s="2" t="n">
        <v>0.6</v>
      </c>
      <c r="AE91" s="2" t="n">
        <v>4</v>
      </c>
      <c r="AF91" s="2" t="n">
        <v>53</v>
      </c>
      <c r="AG91" s="2" t="n"/>
    </row>
    <row r="92">
      <c r="A92" t="inlineStr">
        <is>
          <t>181</t>
        </is>
      </c>
      <c r="B92" t="inlineStr">
        <is>
          <t>Es lainnya</t>
        </is>
      </c>
      <c r="C92" t="inlineStr">
        <is>
          <t>no_match</t>
        </is>
      </c>
      <c r="D92" t="inlineStr">
        <is>
          <t>ingredient</t>
        </is>
      </c>
      <c r="E92" t="inlineStr">
        <is>
          <t>Es campur: Susu kental manis</t>
        </is>
      </c>
      <c r="F92" s="2" t="n">
        <v>2.666666666666667</v>
      </c>
      <c r="G92" t="inlineStr">
        <is>
          <t>TKPI</t>
        </is>
      </c>
      <c r="H92" t="inlineStr">
        <is>
          <t>JP007</t>
        </is>
      </c>
      <c r="J92" t="inlineStr">
        <is>
          <t>-</t>
        </is>
      </c>
      <c r="K92" s="2" t="n">
        <v>25</v>
      </c>
      <c r="L92" s="2" t="n">
        <v>343</v>
      </c>
      <c r="M92" s="2" t="n">
        <v>8.199999999999999</v>
      </c>
      <c r="N92" s="2" t="n">
        <v>10</v>
      </c>
      <c r="O92" s="2" t="n">
        <v>55</v>
      </c>
      <c r="P92" s="2" t="n">
        <v>0</v>
      </c>
      <c r="Q92" s="2" t="n">
        <v>1.8</v>
      </c>
      <c r="R92" s="2" t="n">
        <v>275</v>
      </c>
      <c r="S92" s="2" t="n">
        <v>209</v>
      </c>
      <c r="T92" s="2" t="n">
        <v>0.2</v>
      </c>
      <c r="U92" s="2" t="n">
        <v>150</v>
      </c>
      <c r="V92" s="2" t="n">
        <v>320</v>
      </c>
      <c r="W92" s="2" t="n">
        <v>0.02</v>
      </c>
      <c r="X92" s="2" t="n">
        <v>1</v>
      </c>
      <c r="Y92" s="2" t="n">
        <v>155</v>
      </c>
      <c r="Z92" s="2" t="n">
        <v>46</v>
      </c>
      <c r="AA92" s="2" t="n"/>
      <c r="AB92" s="2" t="n">
        <v>0.05</v>
      </c>
      <c r="AC92" s="2" t="n">
        <v>0.43</v>
      </c>
      <c r="AD92" s="2" t="n">
        <v>0.4</v>
      </c>
      <c r="AE92" s="2" t="n">
        <v>1</v>
      </c>
      <c r="AF92" s="2" t="n">
        <v>100</v>
      </c>
      <c r="AG92" s="2" t="n"/>
    </row>
    <row r="93">
      <c r="A93" t="inlineStr">
        <is>
          <t>181</t>
        </is>
      </c>
      <c r="B93" t="inlineStr">
        <is>
          <t>Es lainnya</t>
        </is>
      </c>
      <c r="C93" t="inlineStr">
        <is>
          <t>no_match</t>
        </is>
      </c>
      <c r="D93" t="inlineStr">
        <is>
          <t>ingredient</t>
        </is>
      </c>
      <c r="E93" t="inlineStr">
        <is>
          <t>Es campur: Sirup</t>
        </is>
      </c>
      <c r="F93" s="2" t="n">
        <v>2</v>
      </c>
      <c r="G93" t="inlineStr">
        <is>
          <t>TKPI</t>
        </is>
      </c>
      <c r="H93" t="inlineStr">
        <is>
          <t>MP014</t>
        </is>
      </c>
      <c r="J93" t="inlineStr">
        <is>
          <t>-</t>
        </is>
      </c>
      <c r="K93" s="2" t="n">
        <v>44</v>
      </c>
      <c r="L93" s="2" t="n">
        <v>213</v>
      </c>
      <c r="M93" s="2" t="n">
        <v>0</v>
      </c>
      <c r="N93" s="2" t="n">
        <v>0</v>
      </c>
      <c r="O93" s="2" t="n">
        <v>55</v>
      </c>
      <c r="P93" s="2" t="n">
        <v>0</v>
      </c>
      <c r="Q93" s="2" t="n">
        <v>1</v>
      </c>
      <c r="R93" s="2" t="n">
        <v>0</v>
      </c>
      <c r="S93" s="2" t="n">
        <v>0</v>
      </c>
      <c r="T93" s="2" t="n">
        <v>0</v>
      </c>
      <c r="U93" s="2" t="n">
        <v>3</v>
      </c>
      <c r="V93" s="2" t="n">
        <v>4.2</v>
      </c>
      <c r="W93" s="2" t="n"/>
      <c r="X93" s="2" t="n"/>
      <c r="Y93" s="2" t="n"/>
      <c r="Z93" s="2" t="n">
        <v>0</v>
      </c>
      <c r="AA93" s="2" t="n"/>
      <c r="AB93" s="2" t="n">
        <v>0</v>
      </c>
      <c r="AC93" s="2" t="n">
        <v>0</v>
      </c>
      <c r="AD93" s="2" t="n">
        <v>0</v>
      </c>
      <c r="AE93" s="2" t="n"/>
      <c r="AF93" s="2" t="n">
        <v>100</v>
      </c>
      <c r="AG93" s="2" t="n"/>
    </row>
    <row r="94">
      <c r="A94" t="inlineStr">
        <is>
          <t>181</t>
        </is>
      </c>
      <c r="B94" t="inlineStr">
        <is>
          <t>Es lainnya</t>
        </is>
      </c>
      <c r="C94" t="inlineStr">
        <is>
          <t>no_match</t>
        </is>
      </c>
      <c r="D94" t="inlineStr">
        <is>
          <t>ingredient</t>
        </is>
      </c>
      <c r="E94" t="inlineStr">
        <is>
          <t>Es campur: Mangga, segar</t>
        </is>
      </c>
      <c r="F94" s="2" t="n">
        <v>3.333333333333333</v>
      </c>
      <c r="G94" t="inlineStr">
        <is>
          <t>TKPI</t>
        </is>
      </c>
      <c r="H94" t="inlineStr">
        <is>
          <t>ER054</t>
        </is>
      </c>
      <c r="J94" t="inlineStr">
        <is>
          <t>-</t>
        </is>
      </c>
      <c r="K94" s="2" t="n">
        <v>87</v>
      </c>
      <c r="L94" s="2" t="n">
        <v>52</v>
      </c>
      <c r="M94" s="2" t="n">
        <v>0.7</v>
      </c>
      <c r="N94" s="2" t="n">
        <v>0</v>
      </c>
      <c r="O94" s="2" t="n">
        <v>12.3</v>
      </c>
      <c r="P94" s="2" t="n">
        <v>1.6</v>
      </c>
      <c r="Q94" s="2" t="n">
        <v>0.2</v>
      </c>
      <c r="R94" s="2" t="n">
        <v>20</v>
      </c>
      <c r="S94" s="2" t="n">
        <v>16</v>
      </c>
      <c r="T94" s="2" t="n">
        <v>1</v>
      </c>
      <c r="U94" s="2" t="n">
        <v>3</v>
      </c>
      <c r="V94" s="2" t="n">
        <v>140</v>
      </c>
      <c r="W94" s="2" t="n">
        <v>0.33</v>
      </c>
      <c r="X94" s="2" t="n">
        <v>0</v>
      </c>
      <c r="Y94" s="2" t="n"/>
      <c r="Z94" s="2" t="n">
        <v>316</v>
      </c>
      <c r="AA94" s="2" t="n"/>
      <c r="AB94" s="2" t="n">
        <v>0.03</v>
      </c>
      <c r="AC94" s="2" t="n">
        <v>0.01</v>
      </c>
      <c r="AD94" s="2" t="n">
        <v>0.3</v>
      </c>
      <c r="AE94" s="2" t="n">
        <v>12</v>
      </c>
      <c r="AF94" s="2" t="n">
        <v>65</v>
      </c>
      <c r="AG94" s="2" t="n"/>
    </row>
    <row r="95">
      <c r="A95" t="inlineStr">
        <is>
          <t>181</t>
        </is>
      </c>
      <c r="B95" t="inlineStr">
        <is>
          <t>Es lainnya</t>
        </is>
      </c>
      <c r="C95" t="inlineStr">
        <is>
          <t>no_match</t>
        </is>
      </c>
      <c r="D95" t="inlineStr">
        <is>
          <t>ingredient</t>
        </is>
      </c>
      <c r="E95" t="inlineStr">
        <is>
          <t>Es campur: Nanas, segar</t>
        </is>
      </c>
      <c r="F95" s="2" t="n">
        <v>3.333333333333333</v>
      </c>
      <c r="G95" t="inlineStr">
        <is>
          <t>TKPI</t>
        </is>
      </c>
      <c r="H95" t="inlineStr">
        <is>
          <t>ER070</t>
        </is>
      </c>
      <c r="J95" t="inlineStr">
        <is>
          <t>-</t>
        </is>
      </c>
      <c r="K95" s="2" t="n">
        <v>89</v>
      </c>
      <c r="L95" s="2" t="n">
        <v>40</v>
      </c>
      <c r="M95" s="2" t="n">
        <v>0.6</v>
      </c>
      <c r="N95" s="2" t="n">
        <v>0.3</v>
      </c>
      <c r="O95" s="2" t="n">
        <v>9.9</v>
      </c>
      <c r="P95" s="2" t="n">
        <v>0.6</v>
      </c>
      <c r="Q95" s="2" t="n">
        <v>0.3</v>
      </c>
      <c r="R95" s="2" t="n">
        <v>22</v>
      </c>
      <c r="S95" s="2" t="n">
        <v>14</v>
      </c>
      <c r="T95" s="2" t="n">
        <v>0.9</v>
      </c>
      <c r="U95" s="2" t="n">
        <v>18</v>
      </c>
      <c r="V95" s="2" t="n">
        <v>111</v>
      </c>
      <c r="W95" s="2" t="n">
        <v>0.03</v>
      </c>
      <c r="X95" s="2" t="n">
        <v>0.1</v>
      </c>
      <c r="Y95" s="2" t="n">
        <v>0</v>
      </c>
      <c r="Z95" s="2" t="n">
        <v>17</v>
      </c>
      <c r="AA95" s="2" t="n">
        <v>90</v>
      </c>
      <c r="AB95" s="2" t="n">
        <v>0.02</v>
      </c>
      <c r="AC95" s="2" t="n">
        <v>0.04</v>
      </c>
      <c r="AD95" s="2" t="n">
        <v>0.2</v>
      </c>
      <c r="AE95" s="2" t="n">
        <v>22</v>
      </c>
      <c r="AF95" s="2" t="n">
        <v>53</v>
      </c>
      <c r="AG95" s="2" t="n"/>
    </row>
    <row r="96">
      <c r="A96" t="inlineStr">
        <is>
          <t>181</t>
        </is>
      </c>
      <c r="B96" t="inlineStr">
        <is>
          <t>Es lainnya</t>
        </is>
      </c>
      <c r="C96" t="inlineStr">
        <is>
          <t>no_match</t>
        </is>
      </c>
      <c r="D96" t="inlineStr">
        <is>
          <t>ingredient</t>
        </is>
      </c>
      <c r="E96" t="inlineStr">
        <is>
          <t>Es campur: Nangka masak pohon, segar</t>
        </is>
      </c>
      <c r="F96" s="2" t="n">
        <v>2</v>
      </c>
      <c r="G96" t="inlineStr">
        <is>
          <t>TKPI</t>
        </is>
      </c>
      <c r="H96" t="inlineStr">
        <is>
          <t>ER071</t>
        </is>
      </c>
      <c r="J96" t="inlineStr">
        <is>
          <t>-</t>
        </is>
      </c>
      <c r="K96" s="2" t="n">
        <v>70</v>
      </c>
      <c r="L96" s="2" t="n">
        <v>106</v>
      </c>
      <c r="M96" s="2" t="n">
        <v>1.2</v>
      </c>
      <c r="N96" s="2" t="n">
        <v>0.3</v>
      </c>
      <c r="O96" s="2" t="n">
        <v>27.6</v>
      </c>
      <c r="P96" s="2" t="n">
        <v>3.7</v>
      </c>
      <c r="Q96" s="2" t="n">
        <v>2.7</v>
      </c>
      <c r="R96" s="2" t="n">
        <v>20</v>
      </c>
      <c r="S96" s="2" t="n">
        <v>19</v>
      </c>
      <c r="T96" s="2" t="n">
        <v>0.9</v>
      </c>
      <c r="U96" s="2" t="n">
        <v>2</v>
      </c>
      <c r="V96" s="2" t="n">
        <v>407</v>
      </c>
      <c r="W96" s="2" t="n">
        <v>246.58</v>
      </c>
      <c r="X96" s="2" t="n">
        <v>1.4</v>
      </c>
      <c r="Y96" s="2" t="n"/>
      <c r="Z96" s="2" t="n">
        <v>149</v>
      </c>
      <c r="AA96" s="2" t="n">
        <v>330</v>
      </c>
      <c r="AB96" s="2" t="n">
        <v>0.07000000000000001</v>
      </c>
      <c r="AC96" s="2" t="n">
        <v>0.1</v>
      </c>
      <c r="AD96" s="2" t="n">
        <v>1</v>
      </c>
      <c r="AE96" s="2" t="n">
        <v>7</v>
      </c>
      <c r="AF96" s="2" t="n">
        <v>28</v>
      </c>
      <c r="AG96" s="2" t="n"/>
    </row>
    <row r="97">
      <c r="A97" t="inlineStr">
        <is>
          <t>181</t>
        </is>
      </c>
      <c r="B97" t="inlineStr">
        <is>
          <t>Es lainnya</t>
        </is>
      </c>
      <c r="C97" t="inlineStr">
        <is>
          <t>no_match</t>
        </is>
      </c>
      <c r="D97" t="inlineStr">
        <is>
          <t>ingredient</t>
        </is>
      </c>
      <c r="E97" t="inlineStr">
        <is>
          <t>Es campur: Alpukat, segar</t>
        </is>
      </c>
      <c r="F97" s="2" t="n">
        <v>4</v>
      </c>
      <c r="G97" t="inlineStr">
        <is>
          <t>TKPI</t>
        </is>
      </c>
      <c r="H97" t="inlineStr">
        <is>
          <t>ER001</t>
        </is>
      </c>
      <c r="J97" t="inlineStr">
        <is>
          <t>-</t>
        </is>
      </c>
      <c r="K97" s="2" t="n">
        <v>84</v>
      </c>
      <c r="L97" s="2" t="n">
        <v>85</v>
      </c>
      <c r="M97" s="2" t="n">
        <v>0.9</v>
      </c>
      <c r="N97" s="2" t="n">
        <v>6.5</v>
      </c>
      <c r="O97" s="2" t="n">
        <v>7.7</v>
      </c>
      <c r="P97" s="2" t="n"/>
      <c r="Q97" s="2" t="n">
        <v>0.6</v>
      </c>
      <c r="R97" s="2" t="n">
        <v>10</v>
      </c>
      <c r="S97" s="2" t="n">
        <v>20</v>
      </c>
      <c r="T97" s="2" t="n">
        <v>0.9</v>
      </c>
      <c r="U97" s="2" t="n">
        <v>2</v>
      </c>
      <c r="V97" s="2" t="n">
        <v>278</v>
      </c>
      <c r="W97" s="2" t="n">
        <v>0.2</v>
      </c>
      <c r="X97" s="2" t="n">
        <v>0.4</v>
      </c>
      <c r="Y97" s="2" t="n"/>
      <c r="Z97" s="2" t="n">
        <v>189</v>
      </c>
      <c r="AA97" s="2" t="n">
        <v>180</v>
      </c>
      <c r="AB97" s="2" t="n">
        <v>0.05</v>
      </c>
      <c r="AC97" s="2" t="n">
        <v>0.08</v>
      </c>
      <c r="AD97" s="2" t="n">
        <v>1</v>
      </c>
      <c r="AE97" s="2" t="n">
        <v>13</v>
      </c>
      <c r="AF97" s="2" t="n">
        <v>61</v>
      </c>
      <c r="AG97" s="2" t="n"/>
    </row>
    <row r="98">
      <c r="A98" t="inlineStr">
        <is>
          <t>181</t>
        </is>
      </c>
      <c r="B98" t="inlineStr">
        <is>
          <t>Es lainnya</t>
        </is>
      </c>
      <c r="C98" t="inlineStr">
        <is>
          <t>no_match</t>
        </is>
      </c>
      <c r="D98" t="inlineStr">
        <is>
          <t>ingredient</t>
        </is>
      </c>
      <c r="E98" t="inlineStr">
        <is>
          <t>Es kacang merah: Air / es</t>
        </is>
      </c>
      <c r="F98" s="2" t="n">
        <v>13.33333333333333</v>
      </c>
      <c r="G98" t="inlineStr">
        <is>
          <t>water</t>
        </is>
      </c>
      <c r="H98" t="inlineStr">
        <is>
          <t>-</t>
        </is>
      </c>
      <c r="I98" t="inlineStr">
        <is>
          <t>mineral water, composition as item 175</t>
        </is>
      </c>
      <c r="J98" t="inlineStr">
        <is>
          <t>-</t>
        </is>
      </c>
      <c r="K98" s="2" t="n">
        <v>100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0.914</v>
      </c>
      <c r="S98" s="2" t="n">
        <v>0</v>
      </c>
      <c r="T98" s="2" t="n">
        <v>0</v>
      </c>
      <c r="U98" s="2" t="n">
        <v>3.5</v>
      </c>
      <c r="V98" s="2" t="n">
        <v>0.3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100</v>
      </c>
      <c r="AG98" s="2" t="n">
        <v>0</v>
      </c>
    </row>
    <row r="99">
      <c r="A99" t="inlineStr">
        <is>
          <t>181</t>
        </is>
      </c>
      <c r="B99" t="inlineStr">
        <is>
          <t>Es lainnya</t>
        </is>
      </c>
      <c r="C99" t="inlineStr">
        <is>
          <t>no_match</t>
        </is>
      </c>
      <c r="D99" t="inlineStr">
        <is>
          <t>ingredient</t>
        </is>
      </c>
      <c r="E99" t="inlineStr">
        <is>
          <t>Es kacang merah: Kacang merah segar, rebus</t>
        </is>
      </c>
      <c r="F99" s="2" t="n">
        <v>6.666666666666667</v>
      </c>
      <c r="G99" t="inlineStr">
        <is>
          <t>TKPI</t>
        </is>
      </c>
      <c r="H99" t="inlineStr">
        <is>
          <t>CP009</t>
        </is>
      </c>
      <c r="I99" t="inlineStr">
        <is>
          <t>boiled fresh red beans</t>
        </is>
      </c>
      <c r="J99" t="inlineStr">
        <is>
          <t>-</t>
        </is>
      </c>
      <c r="K99" s="2" t="n">
        <v>63.1</v>
      </c>
      <c r="L99" s="2" t="n">
        <v>144</v>
      </c>
      <c r="M99" s="2" t="n">
        <v>10</v>
      </c>
      <c r="N99" s="2" t="n">
        <v>1</v>
      </c>
      <c r="O99" s="2" t="n">
        <v>24.7</v>
      </c>
      <c r="P99" s="2" t="n">
        <v>3.5</v>
      </c>
      <c r="Q99" s="2" t="n">
        <v>1.2</v>
      </c>
      <c r="R99" s="2" t="n">
        <v>144</v>
      </c>
      <c r="S99" s="2" t="n">
        <v>150</v>
      </c>
      <c r="T99" s="2" t="n">
        <v>2.8</v>
      </c>
      <c r="U99" s="2" t="n">
        <v>6</v>
      </c>
      <c r="V99" s="2" t="n">
        <v>311</v>
      </c>
      <c r="W99" s="2" t="n">
        <v>0.27</v>
      </c>
      <c r="X99" s="2" t="n">
        <v>1.5</v>
      </c>
      <c r="Y99" s="2" t="n"/>
      <c r="Z99" s="2" t="n">
        <v>0</v>
      </c>
      <c r="AA99" s="2" t="n"/>
      <c r="AB99" s="2" t="n">
        <v>0.1</v>
      </c>
      <c r="AC99" s="2" t="n">
        <v>0.08</v>
      </c>
      <c r="AD99" s="2" t="n">
        <v>0.7</v>
      </c>
      <c r="AE99" s="2" t="n"/>
      <c r="AF99" s="2" t="n">
        <v>100</v>
      </c>
      <c r="AG99" s="2" t="n"/>
    </row>
    <row r="100">
      <c r="A100" t="inlineStr">
        <is>
          <t>181</t>
        </is>
      </c>
      <c r="B100" t="inlineStr">
        <is>
          <t>Es lainnya</t>
        </is>
      </c>
      <c r="C100" t="inlineStr">
        <is>
          <t>no_match</t>
        </is>
      </c>
      <c r="D100" t="inlineStr">
        <is>
          <t>ingredient</t>
        </is>
      </c>
      <c r="E100" t="inlineStr">
        <is>
          <t>Es kacang merah: Susu kental manis</t>
        </is>
      </c>
      <c r="F100" s="2" t="n">
        <v>3.333333333333333</v>
      </c>
      <c r="G100" t="inlineStr">
        <is>
          <t>TKPI</t>
        </is>
      </c>
      <c r="H100" t="inlineStr">
        <is>
          <t>JP007</t>
        </is>
      </c>
      <c r="J100" t="inlineStr">
        <is>
          <t>-</t>
        </is>
      </c>
      <c r="K100" s="2" t="n">
        <v>25</v>
      </c>
      <c r="L100" s="2" t="n">
        <v>343</v>
      </c>
      <c r="M100" s="2" t="n">
        <v>8.199999999999999</v>
      </c>
      <c r="N100" s="2" t="n">
        <v>10</v>
      </c>
      <c r="O100" s="2" t="n">
        <v>55</v>
      </c>
      <c r="P100" s="2" t="n">
        <v>0</v>
      </c>
      <c r="Q100" s="2" t="n">
        <v>1.8</v>
      </c>
      <c r="R100" s="2" t="n">
        <v>275</v>
      </c>
      <c r="S100" s="2" t="n">
        <v>209</v>
      </c>
      <c r="T100" s="2" t="n">
        <v>0.2</v>
      </c>
      <c r="U100" s="2" t="n">
        <v>150</v>
      </c>
      <c r="V100" s="2" t="n">
        <v>320</v>
      </c>
      <c r="W100" s="2" t="n">
        <v>0.02</v>
      </c>
      <c r="X100" s="2" t="n">
        <v>1</v>
      </c>
      <c r="Y100" s="2" t="n">
        <v>155</v>
      </c>
      <c r="Z100" s="2" t="n">
        <v>46</v>
      </c>
      <c r="AA100" s="2" t="n"/>
      <c r="AB100" s="2" t="n">
        <v>0.05</v>
      </c>
      <c r="AC100" s="2" t="n">
        <v>0.43</v>
      </c>
      <c r="AD100" s="2" t="n">
        <v>0.4</v>
      </c>
      <c r="AE100" s="2" t="n">
        <v>1</v>
      </c>
      <c r="AF100" s="2" t="n">
        <v>100</v>
      </c>
      <c r="AG100" s="2" t="n"/>
    </row>
    <row r="101">
      <c r="A101" t="inlineStr">
        <is>
          <t>181</t>
        </is>
      </c>
      <c r="B101" t="inlineStr">
        <is>
          <t>Es lainnya</t>
        </is>
      </c>
      <c r="C101" t="inlineStr">
        <is>
          <t>no_match</t>
        </is>
      </c>
      <c r="D101" t="inlineStr">
        <is>
          <t>ingredient</t>
        </is>
      </c>
      <c r="E101" t="inlineStr">
        <is>
          <t>Es kacang merah: Kelapa muda, daging, segar</t>
        </is>
      </c>
      <c r="F101" s="2" t="n">
        <v>1.666666666666667</v>
      </c>
      <c r="G101" t="inlineStr">
        <is>
          <t>TKPI</t>
        </is>
      </c>
      <c r="H101" t="inlineStr">
        <is>
          <t>ER046</t>
        </is>
      </c>
      <c r="J101" t="inlineStr">
        <is>
          <t>-</t>
        </is>
      </c>
      <c r="K101" s="2" t="n">
        <v>83</v>
      </c>
      <c r="L101" s="2" t="n">
        <v>68</v>
      </c>
      <c r="M101" s="2" t="n">
        <v>1</v>
      </c>
      <c r="N101" s="2" t="n">
        <v>0.9</v>
      </c>
      <c r="O101" s="2" t="n">
        <v>14</v>
      </c>
      <c r="P101" s="2" t="n">
        <v>0</v>
      </c>
      <c r="Q101" s="2" t="n">
        <v>0.8</v>
      </c>
      <c r="R101" s="2" t="n">
        <v>7</v>
      </c>
      <c r="S101" s="2" t="n">
        <v>30</v>
      </c>
      <c r="T101" s="2" t="n">
        <v>1</v>
      </c>
      <c r="U101" s="2" t="n">
        <v>18</v>
      </c>
      <c r="V101" s="2" t="n">
        <v>564.6</v>
      </c>
      <c r="W101" s="2" t="n">
        <v>0.14</v>
      </c>
      <c r="X101" s="2" t="n">
        <v>0.3</v>
      </c>
      <c r="Y101" s="2" t="n">
        <v>0</v>
      </c>
      <c r="Z101" s="2" t="n">
        <v>0</v>
      </c>
      <c r="AA101" s="2" t="n"/>
      <c r="AB101" s="2" t="n">
        <v>0.06</v>
      </c>
      <c r="AC101" s="2" t="n">
        <v>0.02</v>
      </c>
      <c r="AD101" s="2" t="n">
        <v>0.6</v>
      </c>
      <c r="AE101" s="2" t="n">
        <v>4</v>
      </c>
      <c r="AF101" s="2" t="n">
        <v>53</v>
      </c>
      <c r="AG101" s="2" t="n"/>
    </row>
    <row r="102">
      <c r="A102" t="inlineStr">
        <is>
          <t>181</t>
        </is>
      </c>
      <c r="B102" t="inlineStr">
        <is>
          <t>Es lainnya</t>
        </is>
      </c>
      <c r="C102" t="inlineStr">
        <is>
          <t>no_match</t>
        </is>
      </c>
      <c r="D102" t="inlineStr">
        <is>
          <t>ingredient</t>
        </is>
      </c>
      <c r="E102" t="inlineStr">
        <is>
          <t>Es kacang merah: Kelapa muda, air, segar</t>
        </is>
      </c>
      <c r="F102" s="2" t="n">
        <v>2.666666666666667</v>
      </c>
      <c r="G102" t="inlineStr">
        <is>
          <t>TKPI</t>
        </is>
      </c>
      <c r="H102" t="inlineStr">
        <is>
          <t>QR001</t>
        </is>
      </c>
      <c r="J102" t="inlineStr">
        <is>
          <t>-</t>
        </is>
      </c>
      <c r="K102" s="2" t="n">
        <v>95</v>
      </c>
      <c r="L102" s="2" t="n">
        <v>16</v>
      </c>
      <c r="M102" s="2" t="n">
        <v>0.1</v>
      </c>
      <c r="N102" s="2" t="n">
        <v>0.4</v>
      </c>
      <c r="O102" s="2" t="n">
        <v>3</v>
      </c>
      <c r="P102" s="2" t="n">
        <v>0</v>
      </c>
      <c r="Q102" s="2" t="n">
        <v>0.4</v>
      </c>
      <c r="R102" s="2" t="n">
        <v>15</v>
      </c>
      <c r="S102" s="2" t="n">
        <v>8</v>
      </c>
      <c r="T102" s="2" t="n">
        <v>0.2</v>
      </c>
      <c r="U102" s="2" t="n">
        <v>1</v>
      </c>
      <c r="V102" s="2" t="n">
        <v>149</v>
      </c>
      <c r="W102" s="2" t="n">
        <v>0.04</v>
      </c>
      <c r="X102" s="2" t="n">
        <v>0.1</v>
      </c>
      <c r="Y102" s="2" t="n">
        <v>0</v>
      </c>
      <c r="Z102" s="2" t="n">
        <v>0</v>
      </c>
      <c r="AA102" s="2" t="n"/>
      <c r="AB102" s="2" t="n">
        <v>0</v>
      </c>
      <c r="AC102" s="2" t="n">
        <v>0</v>
      </c>
      <c r="AD102" s="2" t="n">
        <v>0</v>
      </c>
      <c r="AE102" s="2" t="n">
        <v>1</v>
      </c>
      <c r="AF102" s="2" t="n">
        <v>100</v>
      </c>
      <c r="AG102" s="2" t="n"/>
    </row>
    <row r="103">
      <c r="A103" t="inlineStr">
        <is>
          <t>181</t>
        </is>
      </c>
      <c r="B103" t="inlineStr">
        <is>
          <t>Es lainnya</t>
        </is>
      </c>
      <c r="C103" t="inlineStr">
        <is>
          <t>no_match</t>
        </is>
      </c>
      <c r="D103" t="inlineStr">
        <is>
          <t>ingredient</t>
        </is>
      </c>
      <c r="E103" t="inlineStr">
        <is>
          <t>Es kacang merah: Sirsak, segar</t>
        </is>
      </c>
      <c r="F103" s="2" t="n">
        <v>2.333333333333333</v>
      </c>
      <c r="G103" t="inlineStr">
        <is>
          <t>TKPI</t>
        </is>
      </c>
      <c r="H103" t="inlineStr">
        <is>
          <t>ER106</t>
        </is>
      </c>
      <c r="J103" t="inlineStr">
        <is>
          <t>-</t>
        </is>
      </c>
      <c r="K103" s="2" t="n">
        <v>82</v>
      </c>
      <c r="L103" s="2" t="n">
        <v>65</v>
      </c>
      <c r="M103" s="2" t="n">
        <v>1</v>
      </c>
      <c r="N103" s="2" t="n">
        <v>0.3</v>
      </c>
      <c r="O103" s="2" t="n">
        <v>16.3</v>
      </c>
      <c r="P103" s="2" t="n">
        <v>3.2</v>
      </c>
      <c r="Q103" s="2" t="n">
        <v>0.7</v>
      </c>
      <c r="R103" s="2" t="n">
        <v>14</v>
      </c>
      <c r="S103" s="2" t="n">
        <v>27</v>
      </c>
      <c r="T103" s="2" t="n">
        <v>0.6</v>
      </c>
      <c r="U103" s="2" t="n">
        <v>2</v>
      </c>
      <c r="V103" s="2" t="n">
        <v>298.9</v>
      </c>
      <c r="W103" s="2" t="n">
        <v>0.08</v>
      </c>
      <c r="X103" s="2" t="n">
        <v>1</v>
      </c>
      <c r="Y103" s="2" t="n"/>
      <c r="Z103" s="2" t="n">
        <v>8</v>
      </c>
      <c r="AA103" s="2" t="n">
        <v>10</v>
      </c>
      <c r="AB103" s="2" t="n">
        <v>0.07000000000000001</v>
      </c>
      <c r="AC103" s="2" t="n">
        <v>0.08</v>
      </c>
      <c r="AD103" s="2" t="n">
        <v>0.7</v>
      </c>
      <c r="AE103" s="2" t="n">
        <v>20</v>
      </c>
      <c r="AF103" s="2" t="n">
        <v>68</v>
      </c>
      <c r="AG103" s="2" t="n"/>
    </row>
    <row r="104">
      <c r="A104" t="inlineStr">
        <is>
          <t>181</t>
        </is>
      </c>
      <c r="B104" t="inlineStr">
        <is>
          <t>Es lainnya</t>
        </is>
      </c>
      <c r="C104" t="inlineStr">
        <is>
          <t>no_match</t>
        </is>
      </c>
      <c r="D104" t="inlineStr">
        <is>
          <t>ingredient</t>
        </is>
      </c>
      <c r="E104" t="inlineStr">
        <is>
          <t>Es kacang merah: Nangka masak pohon, segar</t>
        </is>
      </c>
      <c r="F104" s="2" t="n">
        <v>1.333333333333333</v>
      </c>
      <c r="G104" t="inlineStr">
        <is>
          <t>TKPI</t>
        </is>
      </c>
      <c r="H104" t="inlineStr">
        <is>
          <t>ER071</t>
        </is>
      </c>
      <c r="J104" t="inlineStr">
        <is>
          <t>-</t>
        </is>
      </c>
      <c r="K104" s="2" t="n">
        <v>70</v>
      </c>
      <c r="L104" s="2" t="n">
        <v>106</v>
      </c>
      <c r="M104" s="2" t="n">
        <v>1.2</v>
      </c>
      <c r="N104" s="2" t="n">
        <v>0.3</v>
      </c>
      <c r="O104" s="2" t="n">
        <v>27.6</v>
      </c>
      <c r="P104" s="2" t="n">
        <v>3.7</v>
      </c>
      <c r="Q104" s="2" t="n">
        <v>2.7</v>
      </c>
      <c r="R104" s="2" t="n">
        <v>20</v>
      </c>
      <c r="S104" s="2" t="n">
        <v>19</v>
      </c>
      <c r="T104" s="2" t="n">
        <v>0.9</v>
      </c>
      <c r="U104" s="2" t="n">
        <v>2</v>
      </c>
      <c r="V104" s="2" t="n">
        <v>407</v>
      </c>
      <c r="W104" s="2" t="n">
        <v>246.58</v>
      </c>
      <c r="X104" s="2" t="n">
        <v>1.4</v>
      </c>
      <c r="Y104" s="2" t="n"/>
      <c r="Z104" s="2" t="n">
        <v>149</v>
      </c>
      <c r="AA104" s="2" t="n">
        <v>330</v>
      </c>
      <c r="AB104" s="2" t="n">
        <v>0.07000000000000001</v>
      </c>
      <c r="AC104" s="2" t="n">
        <v>0.1</v>
      </c>
      <c r="AD104" s="2" t="n">
        <v>1</v>
      </c>
      <c r="AE104" s="2" t="n">
        <v>7</v>
      </c>
      <c r="AF104" s="2" t="n">
        <v>28</v>
      </c>
      <c r="AG104" s="2" t="n"/>
    </row>
    <row r="105">
      <c r="A105" t="inlineStr">
        <is>
          <t>181</t>
        </is>
      </c>
      <c r="B105" t="inlineStr">
        <is>
          <t>Es lainnya</t>
        </is>
      </c>
      <c r="C105" t="inlineStr">
        <is>
          <t>no_match</t>
        </is>
      </c>
      <c r="D105" t="inlineStr">
        <is>
          <t>ingredient</t>
        </is>
      </c>
      <c r="E105" t="inlineStr">
        <is>
          <t>Es kacang merah: Alpukat, segar</t>
        </is>
      </c>
      <c r="F105" s="2" t="n">
        <v>2</v>
      </c>
      <c r="G105" t="inlineStr">
        <is>
          <t>TKPI</t>
        </is>
      </c>
      <c r="H105" t="inlineStr">
        <is>
          <t>ER001</t>
        </is>
      </c>
      <c r="J105" t="inlineStr">
        <is>
          <t>-</t>
        </is>
      </c>
      <c r="K105" s="2" t="n">
        <v>84</v>
      </c>
      <c r="L105" s="2" t="n">
        <v>85</v>
      </c>
      <c r="M105" s="2" t="n">
        <v>0.9</v>
      </c>
      <c r="N105" s="2" t="n">
        <v>6.5</v>
      </c>
      <c r="O105" s="2" t="n">
        <v>7.7</v>
      </c>
      <c r="P105" s="2" t="n"/>
      <c r="Q105" s="2" t="n">
        <v>0.6</v>
      </c>
      <c r="R105" s="2" t="n">
        <v>10</v>
      </c>
      <c r="S105" s="2" t="n">
        <v>20</v>
      </c>
      <c r="T105" s="2" t="n">
        <v>0.9</v>
      </c>
      <c r="U105" s="2" t="n">
        <v>2</v>
      </c>
      <c r="V105" s="2" t="n">
        <v>278</v>
      </c>
      <c r="W105" s="2" t="n">
        <v>0.2</v>
      </c>
      <c r="X105" s="2" t="n">
        <v>0.4</v>
      </c>
      <c r="Y105" s="2" t="n"/>
      <c r="Z105" s="2" t="n">
        <v>189</v>
      </c>
      <c r="AA105" s="2" t="n">
        <v>180</v>
      </c>
      <c r="AB105" s="2" t="n">
        <v>0.05</v>
      </c>
      <c r="AC105" s="2" t="n">
        <v>0.08</v>
      </c>
      <c r="AD105" s="2" t="n">
        <v>1</v>
      </c>
      <c r="AE105" s="2" t="n">
        <v>13</v>
      </c>
      <c r="AF105" s="2" t="n">
        <v>61</v>
      </c>
      <c r="AG105" s="2" t="n"/>
    </row>
    <row r="106">
      <c r="A106" s="3" t="inlineStr">
        <is>
          <t>181</t>
        </is>
      </c>
      <c r="B106" s="3" t="inlineStr">
        <is>
          <t>Es lainnya</t>
        </is>
      </c>
      <c r="C106" s="3" t="inlineStr">
        <is>
          <t>no_match</t>
        </is>
      </c>
      <c r="D106" s="3" t="inlineStr">
        <is>
          <t>average</t>
        </is>
      </c>
      <c r="E106" s="3" t="inlineStr">
        <is>
          <t>Es lainnya, per 100 g</t>
        </is>
      </c>
      <c r="F106" s="4">
        <f>SUM(F84:F105)</f>
        <v/>
      </c>
      <c r="G106" s="3" t="inlineStr">
        <is>
          <t>calculated</t>
        </is>
      </c>
      <c r="H106" s="3" t="inlineStr">
        <is>
          <t>-</t>
        </is>
      </c>
      <c r="I106" s="3" t="inlineStr">
        <is>
          <t>weighted average; ingredients missing a nutrient count as zero (values are minimums where a source is incomplete); blank = no ingredient reports it</t>
        </is>
      </c>
      <c r="J106" s="3" t="inlineStr">
        <is>
          <t>-</t>
        </is>
      </c>
      <c r="K106" s="4">
        <f>IF(COUNT(K84:K105)=0,"",SUMPRODUCT($F84:$F105/100,K84:K105))</f>
        <v/>
      </c>
      <c r="L106" s="4">
        <f>IF(COUNT(L84:L105)=0,"",SUMPRODUCT($F84:$F105/100,L84:L105))</f>
        <v/>
      </c>
      <c r="M106" s="4">
        <f>IF(COUNT(M84:M105)=0,"",SUMPRODUCT($F84:$F105/100,M84:M105))</f>
        <v/>
      </c>
      <c r="N106" s="4">
        <f>IF(COUNT(N84:N105)=0,"",SUMPRODUCT($F84:$F105/100,N84:N105))</f>
        <v/>
      </c>
      <c r="O106" s="4">
        <f>IF(COUNT(O84:O105)=0,"",SUMPRODUCT($F84:$F105/100,O84:O105))</f>
        <v/>
      </c>
      <c r="P106" s="4">
        <f>IF(COUNT(P84:P105)=0,"",SUMPRODUCT($F84:$F105/100,P84:P105))</f>
        <v/>
      </c>
      <c r="Q106" s="4">
        <f>IF(COUNT(Q84:Q105)=0,"",SUMPRODUCT($F84:$F105/100,Q84:Q105))</f>
        <v/>
      </c>
      <c r="R106" s="4">
        <f>IF(COUNT(R84:R105)=0,"",SUMPRODUCT($F84:$F105/100,R84:R105))</f>
        <v/>
      </c>
      <c r="S106" s="4">
        <f>IF(COUNT(S84:S105)=0,"",SUMPRODUCT($F84:$F105/100,S84:S105))</f>
        <v/>
      </c>
      <c r="T106" s="4">
        <f>IF(COUNT(T84:T105)=0,"",SUMPRODUCT($F84:$F105/100,T84:T105))</f>
        <v/>
      </c>
      <c r="U106" s="4">
        <f>IF(COUNT(U84:U105)=0,"",SUMPRODUCT($F84:$F105/100,U84:U105))</f>
        <v/>
      </c>
      <c r="V106" s="4">
        <f>IF(COUNT(V84:V105)=0,"",SUMPRODUCT($F84:$F105/100,V84:V105))</f>
        <v/>
      </c>
      <c r="W106" s="4">
        <f>IF(COUNT(W84:W105)=0,"",SUMPRODUCT($F84:$F105/100,W84:W105))</f>
        <v/>
      </c>
      <c r="X106" s="4">
        <f>IF(COUNT(X84:X105)=0,"",SUMPRODUCT($F84:$F105/100,X84:X105))</f>
        <v/>
      </c>
      <c r="Y106" s="4">
        <f>IF(COUNT(Y84:Y105)=0,"",SUMPRODUCT($F84:$F105/100,Y84:Y105))</f>
        <v/>
      </c>
      <c r="Z106" s="4">
        <f>IF(COUNT(Z84:Z105)=0,"",SUMPRODUCT($F84:$F105/100,Z84:Z105))</f>
        <v/>
      </c>
      <c r="AA106" s="4">
        <f>IF(COUNT(AA84:AA105)=0,"",SUMPRODUCT($F84:$F105/100,AA84:AA105))</f>
        <v/>
      </c>
      <c r="AB106" s="4">
        <f>IF(COUNT(AB84:AB105)=0,"",SUMPRODUCT($F84:$F105/100,AB84:AB105))</f>
        <v/>
      </c>
      <c r="AC106" s="4">
        <f>IF(COUNT(AC84:AC105)=0,"",SUMPRODUCT($F84:$F105/100,AC84:AC105))</f>
        <v/>
      </c>
      <c r="AD106" s="4">
        <f>IF(COUNT(AD84:AD105)=0,"",SUMPRODUCT($F84:$F105/100,AD84:AD105))</f>
        <v/>
      </c>
      <c r="AE106" s="4">
        <f>IF(COUNT(AE84:AE105)=0,"",SUMPRODUCT($F84:$F105/100,AE84:AE105))</f>
        <v/>
      </c>
      <c r="AF106" s="4">
        <f>IF(COUNT(AF84:AF105)=0,"",SUMPRODUCT($F84:$F105/100,AF84:AF105))</f>
        <v/>
      </c>
      <c r="AG106" s="4" t="n">
        <v>1</v>
      </c>
    </row>
    <row r="107">
      <c r="A107" t="inlineStr">
        <is>
          <t>182</t>
        </is>
      </c>
      <c r="B107" t="inlineStr">
        <is>
          <t>Minuman keras</t>
        </is>
      </c>
      <c r="C107" t="inlineStr">
        <is>
          <t>no_match</t>
        </is>
      </c>
      <c r="D107" t="inlineStr">
        <is>
          <t>ingredient</t>
        </is>
      </c>
      <c r="E107" t="inlineStr">
        <is>
          <t>Beer, regular, all (Bir Bintang proxy)</t>
        </is>
      </c>
      <c r="F107" s="2" t="n">
        <v>50</v>
      </c>
      <c r="G107" t="inlineStr">
        <is>
          <t>USDA</t>
        </is>
      </c>
      <c r="H107" t="inlineStr">
        <is>
          <t>168746</t>
        </is>
      </c>
      <c r="J107" t="inlineStr">
        <is>
          <t>https://fdc.nal.usda.gov/food-details/168746/nutrients</t>
        </is>
      </c>
      <c r="K107" s="2" t="n">
        <v>92</v>
      </c>
      <c r="L107" s="2" t="n">
        <v>43</v>
      </c>
      <c r="M107" s="2" t="n">
        <v>0.46</v>
      </c>
      <c r="N107" s="2" t="n">
        <v>0</v>
      </c>
      <c r="O107" s="2" t="n">
        <v>3.55</v>
      </c>
      <c r="P107" s="2" t="n">
        <v>0</v>
      </c>
      <c r="Q107" s="2" t="n">
        <v>0.16</v>
      </c>
      <c r="R107" s="2" t="n">
        <v>4</v>
      </c>
      <c r="S107" s="2" t="n">
        <v>14</v>
      </c>
      <c r="T107" s="2" t="n">
        <v>0.02</v>
      </c>
      <c r="U107" s="2" t="n">
        <v>4</v>
      </c>
      <c r="V107" s="2" t="n">
        <v>27</v>
      </c>
      <c r="W107" s="2" t="n">
        <v>0.005</v>
      </c>
      <c r="X107" s="2" t="n">
        <v>0.01</v>
      </c>
      <c r="Y107" s="2" t="n">
        <v>0</v>
      </c>
      <c r="Z107" s="2" t="n">
        <v>0</v>
      </c>
      <c r="AA107" s="2" t="n">
        <v>0</v>
      </c>
      <c r="AB107" s="2" t="n">
        <v>0.005</v>
      </c>
      <c r="AC107" s="2" t="n">
        <v>0.025</v>
      </c>
      <c r="AD107" s="2" t="n">
        <v>0.513</v>
      </c>
      <c r="AE107" s="2" t="n">
        <v>0</v>
      </c>
      <c r="AF107" s="2" t="n">
        <v>100</v>
      </c>
      <c r="AG107" s="2" t="n"/>
    </row>
    <row r="108">
      <c r="A108" t="inlineStr">
        <is>
          <t>182</t>
        </is>
      </c>
      <c r="B108" t="inlineStr">
        <is>
          <t>Minuman keras</t>
        </is>
      </c>
      <c r="C108" t="inlineStr">
        <is>
          <t>no_match</t>
        </is>
      </c>
      <c r="D108" t="inlineStr">
        <is>
          <t>ingredient</t>
        </is>
      </c>
      <c r="E108" t="inlineStr">
        <is>
          <t>Distilled spirits, 100 proof (arak/sopi proxy)</t>
        </is>
      </c>
      <c r="F108" s="2" t="n">
        <v>50</v>
      </c>
      <c r="G108" t="inlineStr">
        <is>
          <t>USDA</t>
        </is>
      </c>
      <c r="H108" t="inlineStr">
        <is>
          <t>173664</t>
        </is>
      </c>
      <c r="I108" t="inlineStr">
        <is>
          <t>50% ABV matches arak. North Maluku's own spirit is sopi (distilled aren/palm sap) - no FCD entry exists anywhere, this is its stand-in</t>
        </is>
      </c>
      <c r="J108" t="inlineStr">
        <is>
          <t>https://fdc.nal.usda.gov/food-details/173664/nutrients</t>
        </is>
      </c>
      <c r="K108" s="2" t="n">
        <v>57.5</v>
      </c>
      <c r="L108" s="2" t="n">
        <v>295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0.01</v>
      </c>
      <c r="R108" s="2" t="n">
        <v>0</v>
      </c>
      <c r="S108" s="2" t="n">
        <v>4</v>
      </c>
      <c r="T108" s="2" t="n">
        <v>0.04</v>
      </c>
      <c r="U108" s="2" t="n">
        <v>1</v>
      </c>
      <c r="V108" s="2" t="n">
        <v>2</v>
      </c>
      <c r="W108" s="2" t="n">
        <v>0.021</v>
      </c>
      <c r="X108" s="2" t="n">
        <v>0.04</v>
      </c>
      <c r="Y108" s="2" t="n">
        <v>0</v>
      </c>
      <c r="Z108" s="2" t="n">
        <v>0</v>
      </c>
      <c r="AA108" s="2" t="n"/>
      <c r="AB108" s="2" t="n">
        <v>0.006</v>
      </c>
      <c r="AC108" s="2" t="n">
        <v>0.004</v>
      </c>
      <c r="AD108" s="2" t="n">
        <v>0.013</v>
      </c>
      <c r="AE108" s="2" t="n">
        <v>0</v>
      </c>
      <c r="AF108" s="2" t="n">
        <v>100</v>
      </c>
      <c r="AG108" s="2" t="n"/>
    </row>
    <row r="109">
      <c r="A109" s="3" t="inlineStr">
        <is>
          <t>182</t>
        </is>
      </c>
      <c r="B109" s="3" t="inlineStr">
        <is>
          <t>Minuman keras</t>
        </is>
      </c>
      <c r="C109" s="3" t="inlineStr">
        <is>
          <t>no_match</t>
        </is>
      </c>
      <c r="D109" s="3" t="inlineStr">
        <is>
          <t>average</t>
        </is>
      </c>
      <c r="E109" s="3" t="inlineStr">
        <is>
          <t>Minuman keras, per 100 g</t>
        </is>
      </c>
      <c r="F109" s="4">
        <f>SUM(F107:F108)</f>
        <v/>
      </c>
      <c r="G109" s="3" t="inlineStr">
        <is>
          <t>calculated</t>
        </is>
      </c>
      <c r="H109" s="3" t="inlineStr">
        <is>
          <t>-</t>
        </is>
      </c>
      <c r="I109" s="3" t="inlineStr">
        <is>
          <t>weighted average; ingredients missing a nutrient count as zero (values are minimums where a source is incomplete); blank = no ingredient reports it</t>
        </is>
      </c>
      <c r="J109" s="3" t="inlineStr">
        <is>
          <t>-</t>
        </is>
      </c>
      <c r="K109" s="4">
        <f>IF(COUNT(K107:K108)=0,"",SUMPRODUCT($F107:$F108/100,K107:K108))</f>
        <v/>
      </c>
      <c r="L109" s="4">
        <f>IF(COUNT(L107:L108)=0,"",SUMPRODUCT($F107:$F108/100,L107:L108))</f>
        <v/>
      </c>
      <c r="M109" s="4">
        <f>IF(COUNT(M107:M108)=0,"",SUMPRODUCT($F107:$F108/100,M107:M108))</f>
        <v/>
      </c>
      <c r="N109" s="4">
        <f>IF(COUNT(N107:N108)=0,"",SUMPRODUCT($F107:$F108/100,N107:N108))</f>
        <v/>
      </c>
      <c r="O109" s="4">
        <f>IF(COUNT(O107:O108)=0,"",SUMPRODUCT($F107:$F108/100,O107:O108))</f>
        <v/>
      </c>
      <c r="P109" s="4">
        <f>IF(COUNT(P107:P108)=0,"",SUMPRODUCT($F107:$F108/100,P107:P108))</f>
        <v/>
      </c>
      <c r="Q109" s="4">
        <f>IF(COUNT(Q107:Q108)=0,"",SUMPRODUCT($F107:$F108/100,Q107:Q108))</f>
        <v/>
      </c>
      <c r="R109" s="4">
        <f>IF(COUNT(R107:R108)=0,"",SUMPRODUCT($F107:$F108/100,R107:R108))</f>
        <v/>
      </c>
      <c r="S109" s="4">
        <f>IF(COUNT(S107:S108)=0,"",SUMPRODUCT($F107:$F108/100,S107:S108))</f>
        <v/>
      </c>
      <c r="T109" s="4">
        <f>IF(COUNT(T107:T108)=0,"",SUMPRODUCT($F107:$F108/100,T107:T108))</f>
        <v/>
      </c>
      <c r="U109" s="4">
        <f>IF(COUNT(U107:U108)=0,"",SUMPRODUCT($F107:$F108/100,U107:U108))</f>
        <v/>
      </c>
      <c r="V109" s="4">
        <f>IF(COUNT(V107:V108)=0,"",SUMPRODUCT($F107:$F108/100,V107:V108))</f>
        <v/>
      </c>
      <c r="W109" s="4">
        <f>IF(COUNT(W107:W108)=0,"",SUMPRODUCT($F107:$F108/100,W107:W108))</f>
        <v/>
      </c>
      <c r="X109" s="4">
        <f>IF(COUNT(X107:X108)=0,"",SUMPRODUCT($F107:$F108/100,X107:X108))</f>
        <v/>
      </c>
      <c r="Y109" s="4">
        <f>IF(COUNT(Y107:Y108)=0,"",SUMPRODUCT($F107:$F108/100,Y107:Y108))</f>
        <v/>
      </c>
      <c r="Z109" s="4">
        <f>IF(COUNT(Z107:Z108)=0,"",SUMPRODUCT($F107:$F108/100,Z107:Z108))</f>
        <v/>
      </c>
      <c r="AA109" s="4">
        <f>IF(COUNT(AA107:AA108)=0,"",SUMPRODUCT($F107:$F108/100,AA107:AA108))</f>
        <v/>
      </c>
      <c r="AB109" s="4">
        <f>IF(COUNT(AB107:AB108)=0,"",SUMPRODUCT($F107:$F108/100,AB107:AB108))</f>
        <v/>
      </c>
      <c r="AC109" s="4">
        <f>IF(COUNT(AC107:AC108)=0,"",SUMPRODUCT($F107:$F108/100,AC107:AC108))</f>
        <v/>
      </c>
      <c r="AD109" s="4">
        <f>IF(COUNT(AD107:AD108)=0,"",SUMPRODUCT($F107:$F108/100,AD107:AD108))</f>
        <v/>
      </c>
      <c r="AE109" s="4">
        <f>IF(COUNT(AE107:AE108)=0,"",SUMPRODUCT($F107:$F108/100,AE107:AE108))</f>
        <v/>
      </c>
      <c r="AF109" s="4">
        <f>IF(COUNT(AF107:AF108)=0,"",SUMPRODUCT($F107:$F108/100,AF107:AF108))</f>
        <v/>
      </c>
      <c r="AG109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10" defaultColWidth="8.83203125" defaultRowHeight="15"/>
  <cols>
    <col width="78" customWidth="1" min="1" max="1"/>
  </cols>
  <sheetData>
    <row r="1">
      <c r="A1" s="5" t="inlineStr">
        <is>
          <t>Gap Filling Calculation - DRAFT v7 for review (21 Aug 2026)</t>
        </is>
      </c>
    </row>
    <row r="2">
      <c r="A2" s="6" t="n"/>
    </row>
    <row r="3">
      <c r="A3" s="6" t="inlineStr">
        <is>
          <t>Structure: one block per unmatched SUSENAS item, item names as in the</t>
        </is>
      </c>
    </row>
    <row r="4">
      <c r="A4" s="6" t="inlineStr">
        <is>
          <t>published tables. Columns are the TKPI panel plus dha_epa (aquatic</t>
        </is>
      </c>
    </row>
    <row r="5">
      <c r="A5" s="6" t="inlineStr">
        <is>
          <t>only; its average always computes, with non-aquatic ingredients</t>
        </is>
      </c>
    </row>
    <row r="6">
      <c r="A6" s="6" t="inlineStr">
        <is>
          <t>counting as zero because they genuinely have none). Ingredient rows</t>
        </is>
      </c>
    </row>
    <row r="7">
      <c r="A7" s="6" t="inlineStr">
        <is>
          <t>carry per-100 g nutrient values of that ingredient from the named source;</t>
        </is>
      </c>
    </row>
    <row r="8">
      <c r="A8" s="6" t="inlineStr">
        <is>
          <t>proportion_pct is the ingredient's share of 100 g of the finished dish</t>
        </is>
      </c>
    </row>
    <row r="9">
      <c r="A9" s="6" t="inlineStr">
        <is>
          <t>and sums to 100 within each block. The bold blue 'average' row is the</t>
        </is>
      </c>
    </row>
    <row r="10">
      <c r="A10" s="6" t="inlineStr">
        <is>
          <t>item's final value and is a LIVE formula, sum(proportion/100 x value):</t>
        </is>
      </c>
    </row>
    <row r="11">
      <c r="A11" s="6" t="inlineStr">
        <is>
          <t>editing a proportion or a value recalculates it, and its proportion</t>
        </is>
      </c>
    </row>
    <row r="12">
      <c r="A12" s="6" t="inlineStr">
        <is>
          <t>cell shows the block's proportion sum (should read 100). Ingredients</t>
        </is>
      </c>
    </row>
    <row r="13">
      <c r="A13" s="6" t="inlineStr">
        <is>
          <t>missing a nutrient count as zero, so the average is a minimum where a</t>
        </is>
      </c>
    </row>
    <row r="14">
      <c r="A14" s="6" t="inlineStr">
        <is>
          <t>source is incomplete; it goes blank only when no ingredient in the</t>
        </is>
      </c>
    </row>
    <row r="15">
      <c r="A15" s="6" t="inlineStr">
        <is>
          <t>block reports that nutrient.</t>
        </is>
      </c>
    </row>
    <row r="16">
      <c r="A16" s="6" t="n"/>
    </row>
    <row r="17">
      <c r="A17" s="6" t="inlineStr">
        <is>
          <t>Every proportion is a proposal pending review, following the advice</t>
        </is>
      </c>
    </row>
    <row r="18">
      <c r="A18" s="6" t="inlineStr">
        <is>
          <t>column in susenas_unmatched_gaps.xlsx.</t>
        </is>
      </c>
    </row>
    <row r="19">
      <c r="A19" s="6" t="n"/>
    </row>
    <row r="20">
      <c r="A20" s="6" t="inlineStr">
        <is>
          <t>Sources: TKPI = tkpi_2020_c.csv by food_code; SMILING = smiling_2013_c.csv</t>
        </is>
      </c>
    </row>
    <row r="21">
      <c r="A21" s="6" t="inlineStr">
        <is>
          <t>by row_id; AFCD = fish_book_afcd_c.csv by row_id (the project's aquatic</t>
        </is>
      </c>
    </row>
    <row r="22">
      <c r="A22" s="6" t="inlineStr">
        <is>
          <t>source); water = bottled mineral water (see items 175/176); MyFCD and</t>
        </is>
      </c>
    </row>
    <row r="23">
      <c r="A23" s="6" t="inlineStr">
        <is>
          <t>USDA values were fetched 20-21 Aug 2026 from the live sites (links in</t>
        </is>
      </c>
    </row>
    <row r="24">
      <c r="A24" s="6" t="inlineStr">
        <is>
          <t>source_link) and re-verified against the pages on 21 Aug. Locally</t>
        </is>
      </c>
    </row>
    <row r="25">
      <c r="A25" s="6" t="inlineStr">
        <is>
          <t>sourced rows carry no link.</t>
        </is>
      </c>
    </row>
    <row r="26">
      <c r="A26" s="6" t="n"/>
    </row>
    <row r="27">
      <c r="A27" s="6" t="inlineStr">
        <is>
          <t>Current recipe design:</t>
        </is>
      </c>
    </row>
    <row r="28">
      <c r="A28" s="6" t="inlineStr">
        <is>
          <t>- item 130 kopi: USDA 2088673 Pure Brazilian ground coffee - dry</t>
        </is>
      </c>
    </row>
    <row r="29">
      <c r="A29" s="6" t="inlineStr">
        <is>
          <t>roasted grounds, matching the dry form recorded in SUSENAS. No FCD</t>
        </is>
      </c>
    </row>
    <row r="30">
      <c r="A30" s="6" t="inlineStr">
        <is>
          <t>carries plain roasted-ground arabica or robusta; Brazil grows both</t>
        </is>
      </c>
    </row>
    <row r="31">
      <c r="A31" s="6" t="inlineStr">
        <is>
          <t>species, as Indonesia does. The label is per 5 g of dry powder, so</t>
        </is>
      </c>
    </row>
    <row r="32">
      <c r="A32" s="6" t="inlineStr">
        <is>
          <t>per-100 g values are label x 20 (coarse rounding); potassium,</t>
        </is>
      </c>
    </row>
    <row r="33">
      <c r="A33" s="6" t="inlineStr">
        <is>
          <t>phosphorus and vitamins are undeclared -&gt; blank.</t>
        </is>
      </c>
    </row>
    <row r="34">
      <c r="A34" s="6" t="inlineStr">
        <is>
          <t>- item 144 bumbu: five Indonesian packaged bumbu found in USDA Branded,</t>
        </is>
      </c>
    </row>
    <row r="35">
      <c r="A35" s="6" t="inlineStr">
        <is>
          <t>equal pool - Bamboe soto daging, semur and rujak; Indofood kare and</t>
        </is>
      </c>
    </row>
    <row r="36">
      <c r="A36" s="6" t="inlineStr">
        <is>
          <t>sambal goreng.</t>
        </is>
      </c>
    </row>
    <row r="37">
      <c r="A37" s="6" t="inlineStr">
        <is>
          <t>- item 172 bubur ayam: rice-to-water 1:5.</t>
        </is>
      </c>
    </row>
    <row r="38">
      <c r="A38" s="6" t="inlineStr">
        <is>
          <t>- item 173 siomay/batagor: the tenggiri component uses the aquatic</t>
        </is>
      </c>
    </row>
    <row r="39">
      <c r="A39" s="6" t="inlineStr">
        <is>
          <t>source (AFCD raw tenggiri), which provides protein, calcium,</t>
        </is>
      </c>
    </row>
    <row r="40">
      <c r="A40" s="6" t="inlineStr">
        <is>
          <t>phosphorus, iron, sodium, potassium, copper, zinc, thiamin,</t>
        </is>
      </c>
    </row>
    <row r="41">
      <c r="A41" s="6" t="inlineStr">
        <is>
          <t>riboflavin, niacin and vitamin C; it carries no water, energy, fat,</t>
        </is>
      </c>
    </row>
    <row r="42">
      <c r="A42" s="6" t="inlineStr">
        <is>
          <t>carbohydrate, fiber or ash, so the fish contributes zero to those</t>
        </is>
      </c>
    </row>
    <row r="43">
      <c r="A43" s="6" t="inlineStr">
        <is>
          <t>columns and the item's values there are minimums.</t>
        </is>
      </c>
    </row>
    <row r="44">
      <c r="A44" s="6" t="inlineStr">
        <is>
          <t>- item 181 es lainnya: one flat block; row labels name the drink each</t>
        </is>
      </c>
    </row>
    <row r="45">
      <c r="A45" s="6" t="inlineStr">
        <is>
          <t>ingredient belongs to (es cincau / es campur / es kacang merah), the</t>
        </is>
      </c>
    </row>
    <row r="46">
      <c r="A46" s="6" t="inlineStr">
        <is>
          <t>three drinks weighing equally. Cincau exists in no FCD; a canned grass</t>
        </is>
      </c>
    </row>
    <row r="47">
      <c r="A47" s="6" t="inlineStr">
        <is>
          <t>jelly drink (USDA 498708, per 100 ml) stands in.</t>
        </is>
      </c>
    </row>
    <row r="48">
      <c r="A48" s="6" t="inlineStr">
        <is>
          <t>- items 175/176 bottled water: naturally occurring minerals, captured</t>
        </is>
      </c>
    </row>
    <row r="49">
      <c r="A49" s="6" t="inlineStr">
        <is>
          <t>from the reference product's nutrition facts (Le Minerale, mg/L):</t>
        </is>
      </c>
    </row>
    <row r="50">
      <c r="A50" s="6" t="inlineStr">
        <is>
          <t>Ca 9.14, Mg 5.87, Na 35.0, K 3.0, nitrate 1.55, bicarbonate 118.0,</t>
        </is>
      </c>
    </row>
    <row r="51">
      <c r="A51" s="6" t="inlineStr">
        <is>
          <t>sulfate 3.06, chloride &lt;0.01, TDS 177, pH 7.2-7.7. Only calcium,</t>
        </is>
      </c>
    </row>
    <row r="52">
      <c r="A52" s="6" t="inlineStr">
        <is>
          <t>sodium and potassium have columns in this panel. The leading brand</t>
        </is>
      </c>
    </row>
    <row r="53">
      <c r="A53" s="6" t="inlineStr">
        <is>
          <t>(Aqua) names its minerals but publishes no amounts, so the second</t>
        </is>
      </c>
    </row>
    <row r="54">
      <c r="A54" s="6" t="inlineStr">
        <is>
          <t>brand's table stands in. Added water inside every recipe (soup water,</t>
        </is>
      </c>
    </row>
    <row r="55">
      <c r="A55" s="6" t="inlineStr">
        <is>
          <t>broth, es) carries the same composition.</t>
        </is>
      </c>
    </row>
    <row r="56">
      <c r="A56" s="6" t="n"/>
    </row>
    <row r="57">
      <c r="A57" s="6" t="inlineStr">
        <is>
          <t>Known caveats:</t>
        </is>
      </c>
    </row>
    <row r="58">
      <c r="A58" s="6" t="inlineStr">
        <is>
          <t>- branded label panels are per small servings (5-20 g), so scaled</t>
        </is>
      </c>
    </row>
    <row r="59">
      <c r="A59" s="6" t="inlineStr">
        <is>
          <t>per-100 g values carry coarse rounding; nutrients a label does not</t>
        </is>
      </c>
    </row>
    <row r="60">
      <c r="A60" s="6" t="inlineStr">
        <is>
          <t>declare stay blank in the ingredient row and contribute zero to the</t>
        </is>
      </c>
    </row>
    <row r="61">
      <c r="A61" s="6" t="inlineStr">
        <is>
          <t>average, so affected averages are minimums.</t>
        </is>
      </c>
    </row>
    <row r="62">
      <c r="A62" s="6" t="inlineStr">
        <is>
          <t>- salt/seasoning rows inside the cooked dishes are zeros, so calculated</t>
        </is>
      </c>
    </row>
    <row r="63">
      <c r="A63" s="6" t="inlineStr">
        <is>
          <t>sodium there is understated; TKPI ketoprak/gado-gado lack sodium.</t>
        </is>
      </c>
    </row>
    <row r="64">
      <c r="A64" s="6" t="inlineStr">
        <is>
          <t>- scope: the 14 red-highlighted items (130, 134, 141, 144, 162, 172,</t>
        </is>
      </c>
    </row>
    <row r="65">
      <c r="A65" s="6" t="inlineStr">
        <is>
          <t>173, 175, 176, 181, 182, 158, 165, 171); aquatic items (19, 27, 32,</t>
        </is>
      </c>
    </row>
    <row r="66">
      <c r="A66" s="6" t="inlineStr">
        <is>
          <t>40, 50) belong to the AFCD fish workstream.</t>
        </is>
      </c>
    </row>
    <row r="67">
      <c r="A67" s="6" t="n"/>
    </row>
    <row r="68">
      <c r="A68" s="6" t="inlineStr">
        <is>
          <t>Nothing in susenas_unmatched_gaps.xlsx was modified. Once reviewed, the</t>
        </is>
      </c>
    </row>
    <row r="69">
      <c r="A69" s="6" t="inlineStr">
        <is>
          <t>calculation sheet can be copied into that workbook as a new sheet.</t>
        </is>
      </c>
    </row>
    <row r="71">
      <c r="A71" t="inlineStr">
        <is>
          <t>UPDATE 4 Sep 2026:</t>
        </is>
      </c>
    </row>
    <row r="72">
      <c r="A72" t="inlineStr">
        <is>
          <t>- new column bdd (edible portion, %), placed after vitamin_c. Ingredient</t>
        </is>
      </c>
    </row>
    <row r="73">
      <c r="A73" t="inlineStr">
        <is>
          <t xml:space="preserve">  rows carry the edible portion of the ingredient in its source (TKPI BDD,</t>
        </is>
      </c>
    </row>
    <row r="74">
      <c r="A74" t="inlineStr">
        <is>
          <t xml:space="preserve">  SMILING edible, fish book bdd x 100). USDA, MyFCD and water rows are 100:</t>
        </is>
      </c>
    </row>
    <row r="75">
      <c r="A75" t="inlineStr">
        <is>
          <t xml:space="preserve">  their values are per 100 g of the product as sold and nothing is</t>
        </is>
      </c>
    </row>
    <row r="76">
      <c r="A76" t="inlineStr">
        <is>
          <t xml:space="preserve">  trimmed. The average row is the same live formula as the nutrients,</t>
        </is>
      </c>
    </row>
    <row r="77">
      <c r="A77" t="inlineStr">
        <is>
          <t xml:space="preserve">  sum(proportion/100 x bdd), so the item bdd is the share-weighted mean.</t>
        </is>
      </c>
    </row>
    <row r="78">
      <c r="A78" t="inlineStr">
        <is>
          <t>- item 173 tenggiri now comes from the current fish book (fish_book_afcd.csv</t>
        </is>
      </c>
    </row>
    <row r="79">
      <c r="A79" t="inlineStr">
        <is>
          <t xml:space="preserve">  of 4 Sep 2026, one row per linked fish, keyed by SUSENAS item; tenggiri =</t>
        </is>
      </c>
    </row>
    <row r="80">
      <c r="A80" t="inlineStr">
        <is>
          <t xml:space="preserve">  item 19). It now provides energy, fat, carbohydrate, fiber, ash, retinol,</t>
        </is>
      </c>
    </row>
    <row r="81">
      <c r="A81" t="inlineStr">
        <is>
          <t xml:space="preserve">  beta-carotene and bdd as well; only water and total carotene stay blank.</t>
        </is>
      </c>
    </row>
    <row r="82">
      <c r="A82" t="inlineStr">
        <is>
          <t xml:space="preserve">  Values as published in the fish book.</t>
        </is>
      </c>
    </row>
    <row r="83">
      <c r="A83" t="inlineStr">
        <is>
          <t>- the csv counterpart is indonesia_fct_gap_filling.csv, built by</t>
        </is>
      </c>
    </row>
    <row r="84">
      <c r="A84" t="inlineStr">
        <is>
          <t xml:space="preserve">  build_indonesia_fct_gap_filling.R with the same recipes and rules.</t>
        </is>
      </c>
    </row>
    <row r="86">
      <c r="A86" t="inlineStr">
        <is>
          <t>UPDATE 9 Sep 2026:</t>
        </is>
      </c>
    </row>
    <row r="87">
      <c r="A87" t="inlineStr">
        <is>
          <t>- dha_epa of the average row: an item whose recipe contains an aquatic</t>
        </is>
      </c>
    </row>
    <row r="88">
      <c r="A88" t="inlineStr">
        <is>
          <t xml:space="preserve">  ingredient keeps the live recipe-sum formula (173 siomay/batagor, from</t>
        </is>
      </c>
    </row>
    <row r="89">
      <c r="A89" t="inlineStr">
        <is>
          <t xml:space="preserve">  tenggiri). Every other item is a non-aquatic food and carries the</t>
        </is>
      </c>
    </row>
    <row r="90">
      <c r="A90" t="inlineStr">
        <is>
          <t xml:space="preserve">  constant 1 (g per 100 g), the same value as every sourced item in</t>
        </is>
      </c>
    </row>
    <row r="91">
      <c r="A91" t="inlineStr">
        <is>
          <t xml:space="preserve">  indonesia_fct_nonaquatic_food.csv; that cell is a plain value, not a</t>
        </is>
      </c>
    </row>
    <row r="92">
      <c r="A92" t="inlineStr">
        <is>
          <t xml:space="preserve">  formula. bdd is unchanged: every item already has a share-weighted</t>
        </is>
      </c>
    </row>
    <row r="93">
      <c r="A93" t="inlineStr">
        <is>
          <t xml:space="preserve">  edible portion.</t>
        </is>
      </c>
    </row>
    <row r="94">
      <c r="A94" t="inlineStr">
        <is>
          <t>- indonesia_fct_gap_filling.csv now carries the fish book's 21 nutrient</t>
        </is>
      </c>
    </row>
    <row r="95">
      <c r="A95" t="inlineStr">
        <is>
          <t xml:space="preserve">  columns only (energy to bdd, dha_epa fourth); the water and</t>
        </is>
      </c>
    </row>
    <row r="96">
      <c r="A96" t="inlineStr">
        <is>
          <t xml:space="preserve">  total_carotene columns of this sheet are not part of that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2026-08-24T17:08:56Z</dcterms:created>
  <dcterms:modified xmlns:dcterms="http://purl.org/dc/terms/" xmlns:xsi="http://www.w3.org/2001/XMLSchema-instance" xsi:type="dcterms:W3CDTF">2026-09-09T18:17:57Z</dcterms:modified>
  <cp:lastModifiedBy>Annam, Farid</cp:lastModifiedBy>
</cp:coreProperties>
</file>