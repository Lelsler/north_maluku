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faridannam/Desktop/indonesia_fct/datasets/2_process/"/>
    </mc:Choice>
  </mc:AlternateContent>
  <xr:revisionPtr revIDLastSave="0" documentId="11_975931D5BE8380E993A67C5174681282586CD4F3" xr6:coauthVersionLast="47" xr6:coauthVersionMax="47" xr10:uidLastSave="{00000000-0000-0000-0000-000000000000}"/>
  <bookViews>
    <workbookView xWindow="0" yWindow="600" windowWidth="38400" windowHeight="21000" activeTab="2" xr2:uid="{00000000-000D-0000-FFFF-FFFF00000000}"/>
  </bookViews>
  <sheets>
    <sheet name="Nutrient Fill" sheetId="1" r:id="rId1"/>
    <sheet name="Recipes" sheetId="2" r:id="rId2"/>
    <sheet name="Final Values" sheetId="3" r:id="rId3"/>
    <sheet name="README" sheetId="4" r:id="rId4"/>
  </sheets>
  <definedNames>
    <definedName name="_xlnm._FilterDatabase" localSheetId="2" hidden="1">'Final Values'!$A$1:$AA$183</definedName>
    <definedName name="_xlnm._FilterDatabase" localSheetId="0" hidden="1">'Nutrient Fill'!$A$1:$V$670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92" i="2" l="1"/>
  <c r="Z192" i="2"/>
  <c r="Y192" i="2"/>
  <c r="X192" i="2"/>
  <c r="W192" i="2"/>
  <c r="V192" i="2"/>
  <c r="U192" i="2"/>
  <c r="T192" i="2"/>
  <c r="S192" i="2"/>
  <c r="R192" i="2"/>
  <c r="Q192" i="2"/>
  <c r="P192" i="2"/>
  <c r="O192" i="2"/>
  <c r="N192" i="2"/>
  <c r="M192" i="2"/>
  <c r="L192" i="2"/>
  <c r="K192" i="2"/>
  <c r="J192" i="2"/>
  <c r="I192" i="2"/>
  <c r="H192" i="2"/>
  <c r="G192" i="2"/>
  <c r="AA189" i="2"/>
  <c r="Z189" i="2"/>
  <c r="Y189" i="2"/>
  <c r="X189" i="2"/>
  <c r="W189" i="2"/>
  <c r="V189" i="2"/>
  <c r="U189" i="2"/>
  <c r="T189" i="2"/>
  <c r="S189" i="2"/>
  <c r="R189" i="2"/>
  <c r="Q189" i="2"/>
  <c r="P189" i="2"/>
  <c r="O189" i="2"/>
  <c r="N189" i="2"/>
  <c r="M189" i="2"/>
  <c r="L189" i="2"/>
  <c r="K189" i="2"/>
  <c r="J189" i="2"/>
  <c r="I189" i="2"/>
  <c r="H189" i="2"/>
  <c r="G189" i="2"/>
  <c r="AA172" i="2"/>
  <c r="Z172" i="2"/>
  <c r="Y172" i="2"/>
  <c r="X172" i="2"/>
  <c r="W172" i="2"/>
  <c r="V172" i="2"/>
  <c r="U172" i="2"/>
  <c r="T172" i="2"/>
  <c r="S172" i="2"/>
  <c r="R172" i="2"/>
  <c r="Q172" i="2"/>
  <c r="P172" i="2"/>
  <c r="O172" i="2"/>
  <c r="N172" i="2"/>
  <c r="M172" i="2"/>
  <c r="L172" i="2"/>
  <c r="K172" i="2"/>
  <c r="J172" i="2"/>
  <c r="I172" i="2"/>
  <c r="H172" i="2"/>
  <c r="G172" i="2"/>
  <c r="AA154" i="2"/>
  <c r="Z154" i="2"/>
  <c r="Y154" i="2"/>
  <c r="X154" i="2"/>
  <c r="W154" i="2"/>
  <c r="V154" i="2"/>
  <c r="U154" i="2"/>
  <c r="T154" i="2"/>
  <c r="S154" i="2"/>
  <c r="R154" i="2"/>
  <c r="Q154" i="2"/>
  <c r="P154" i="2"/>
  <c r="O154" i="2"/>
  <c r="N154" i="2"/>
  <c r="M154" i="2"/>
  <c r="L154" i="2"/>
  <c r="K154" i="2"/>
  <c r="J154" i="2"/>
  <c r="I154" i="2"/>
  <c r="H154" i="2"/>
  <c r="G154" i="2"/>
  <c r="AA144" i="2"/>
  <c r="Z144" i="2"/>
  <c r="Y144" i="2"/>
  <c r="X144" i="2"/>
  <c r="W144" i="2"/>
  <c r="V144" i="2"/>
  <c r="U144" i="2"/>
  <c r="T144" i="2"/>
  <c r="S144" i="2"/>
  <c r="R144" i="2"/>
  <c r="Q144" i="2"/>
  <c r="P144" i="2"/>
  <c r="O144" i="2"/>
  <c r="N144" i="2"/>
  <c r="M144" i="2"/>
  <c r="L144" i="2"/>
  <c r="K144" i="2"/>
  <c r="J144" i="2"/>
  <c r="I144" i="2"/>
  <c r="H144" i="2"/>
  <c r="G144" i="2"/>
  <c r="AA138" i="2"/>
  <c r="Z138" i="2"/>
  <c r="Y138" i="2"/>
  <c r="X138" i="2"/>
  <c r="W138" i="2"/>
  <c r="V138" i="2"/>
  <c r="U138" i="2"/>
  <c r="T138" i="2"/>
  <c r="S138" i="2"/>
  <c r="R138" i="2"/>
  <c r="Q138" i="2"/>
  <c r="P138" i="2"/>
  <c r="O138" i="2"/>
  <c r="N138" i="2"/>
  <c r="M138" i="2"/>
  <c r="L138" i="2"/>
  <c r="K138" i="2"/>
  <c r="J138" i="2"/>
  <c r="I138" i="2"/>
  <c r="H138" i="2"/>
  <c r="G138" i="2"/>
  <c r="AA135" i="2"/>
  <c r="Z135" i="2"/>
  <c r="Y135" i="2"/>
  <c r="X135" i="2"/>
  <c r="W135" i="2"/>
  <c r="V135" i="2"/>
  <c r="U135" i="2"/>
  <c r="T135" i="2"/>
  <c r="S135" i="2"/>
  <c r="R135" i="2"/>
  <c r="Q135" i="2"/>
  <c r="P135" i="2"/>
  <c r="O135" i="2"/>
  <c r="N135" i="2"/>
  <c r="M135" i="2"/>
  <c r="L135" i="2"/>
  <c r="K135" i="2"/>
  <c r="J135" i="2"/>
  <c r="I135" i="2"/>
  <c r="H135" i="2"/>
  <c r="G135" i="2"/>
  <c r="AA119" i="2"/>
  <c r="Z119" i="2"/>
  <c r="Y119" i="2"/>
  <c r="X119" i="2"/>
  <c r="W119" i="2"/>
  <c r="V119" i="2"/>
  <c r="U119" i="2"/>
  <c r="T119" i="2"/>
  <c r="S119" i="2"/>
  <c r="R119" i="2"/>
  <c r="Q119" i="2"/>
  <c r="P119" i="2"/>
  <c r="O119" i="2"/>
  <c r="N119" i="2"/>
  <c r="M119" i="2"/>
  <c r="L119" i="2"/>
  <c r="K119" i="2"/>
  <c r="J119" i="2"/>
  <c r="I119" i="2"/>
  <c r="H119" i="2"/>
  <c r="G119" i="2"/>
  <c r="AA95" i="2"/>
  <c r="Z95" i="2"/>
  <c r="Y95" i="2"/>
  <c r="X95" i="2"/>
  <c r="W95" i="2"/>
  <c r="V95" i="2"/>
  <c r="U95" i="2"/>
  <c r="T95" i="2"/>
  <c r="S95" i="2"/>
  <c r="R95" i="2"/>
  <c r="Q95" i="2"/>
  <c r="P95" i="2"/>
  <c r="O95" i="2"/>
  <c r="N95" i="2"/>
  <c r="M95" i="2"/>
  <c r="L95" i="2"/>
  <c r="K95" i="2"/>
  <c r="J95" i="2"/>
  <c r="I95" i="2"/>
  <c r="H95" i="2"/>
  <c r="G95" i="2"/>
  <c r="AA80" i="2"/>
  <c r="Z80" i="2"/>
  <c r="Y80" i="2"/>
  <c r="X80" i="2"/>
  <c r="W80" i="2"/>
  <c r="V80" i="2"/>
  <c r="U80" i="2"/>
  <c r="T80" i="2"/>
  <c r="S80" i="2"/>
  <c r="R80" i="2"/>
  <c r="Q80" i="2"/>
  <c r="P80" i="2"/>
  <c r="O80" i="2"/>
  <c r="N80" i="2"/>
  <c r="M80" i="2"/>
  <c r="L80" i="2"/>
  <c r="K80" i="2"/>
  <c r="J80" i="2"/>
  <c r="I80" i="2"/>
  <c r="H80" i="2"/>
  <c r="G80" i="2"/>
  <c r="AA69" i="2"/>
  <c r="Z69" i="2"/>
  <c r="Y69" i="2"/>
  <c r="X69" i="2"/>
  <c r="W69" i="2"/>
  <c r="V69" i="2"/>
  <c r="U69" i="2"/>
  <c r="T69" i="2"/>
  <c r="S69" i="2"/>
  <c r="R69" i="2"/>
  <c r="Q69" i="2"/>
  <c r="P69" i="2"/>
  <c r="O69" i="2"/>
  <c r="N69" i="2"/>
  <c r="M69" i="2"/>
  <c r="L69" i="2"/>
  <c r="K69" i="2"/>
  <c r="J69" i="2"/>
  <c r="I69" i="2"/>
  <c r="H69" i="2"/>
  <c r="G69" i="2"/>
  <c r="AA54" i="2"/>
  <c r="Z54" i="2"/>
  <c r="Y54" i="2"/>
  <c r="X54" i="2"/>
  <c r="W54" i="2"/>
  <c r="V54" i="2"/>
  <c r="U54" i="2"/>
  <c r="T54" i="2"/>
  <c r="S54" i="2"/>
  <c r="R54" i="2"/>
  <c r="Q54" i="2"/>
  <c r="P54" i="2"/>
  <c r="O54" i="2"/>
  <c r="N54" i="2"/>
  <c r="M54" i="2"/>
  <c r="L54" i="2"/>
  <c r="K54" i="2"/>
  <c r="J54" i="2"/>
  <c r="I54" i="2"/>
  <c r="H54" i="2"/>
  <c r="G54" i="2"/>
  <c r="AA47" i="2"/>
  <c r="Z47" i="2"/>
  <c r="Y47" i="2"/>
  <c r="X47" i="2"/>
  <c r="W47" i="2"/>
  <c r="V47" i="2"/>
  <c r="U47" i="2"/>
  <c r="T47" i="2"/>
  <c r="S47" i="2"/>
  <c r="R47" i="2"/>
  <c r="Q47" i="2"/>
  <c r="P47" i="2"/>
  <c r="O47" i="2"/>
  <c r="N47" i="2"/>
  <c r="M47" i="2"/>
  <c r="L47" i="2"/>
  <c r="K47" i="2"/>
  <c r="J47" i="2"/>
  <c r="I47" i="2"/>
  <c r="H47" i="2"/>
  <c r="G47" i="2"/>
  <c r="AA35" i="2"/>
  <c r="Z35" i="2"/>
  <c r="Y35" i="2"/>
  <c r="X35" i="2"/>
  <c r="W35" i="2"/>
  <c r="V35" i="2"/>
  <c r="U35" i="2"/>
  <c r="T35" i="2"/>
  <c r="S35" i="2"/>
  <c r="R35" i="2"/>
  <c r="Q35" i="2"/>
  <c r="P35" i="2"/>
  <c r="O35" i="2"/>
  <c r="N35" i="2"/>
  <c r="M35" i="2"/>
  <c r="L35" i="2"/>
  <c r="K35" i="2"/>
  <c r="J35" i="2"/>
  <c r="I35" i="2"/>
  <c r="H35" i="2"/>
  <c r="G35" i="2"/>
  <c r="AA27" i="2"/>
  <c r="Z27" i="2"/>
  <c r="Y27" i="2"/>
  <c r="X27" i="2"/>
  <c r="W27" i="2"/>
  <c r="V27" i="2"/>
  <c r="U27" i="2"/>
  <c r="T27" i="2"/>
  <c r="S27" i="2"/>
  <c r="R27" i="2"/>
  <c r="Q27" i="2"/>
  <c r="P27" i="2"/>
  <c r="O27" i="2"/>
  <c r="N27" i="2"/>
  <c r="M27" i="2"/>
  <c r="L27" i="2"/>
  <c r="K27" i="2"/>
  <c r="J27" i="2"/>
  <c r="I27" i="2"/>
  <c r="H27" i="2"/>
  <c r="G27" i="2"/>
  <c r="AA11" i="2"/>
  <c r="Z11" i="2"/>
  <c r="Y11" i="2"/>
  <c r="X11" i="2"/>
  <c r="W11" i="2"/>
  <c r="V11" i="2"/>
  <c r="U11" i="2"/>
  <c r="T11" i="2"/>
  <c r="S11" i="2"/>
  <c r="R11" i="2"/>
  <c r="Q11" i="2"/>
  <c r="P11" i="2"/>
  <c r="O11" i="2"/>
  <c r="N11" i="2"/>
  <c r="M11" i="2"/>
  <c r="L11" i="2"/>
  <c r="K11" i="2"/>
  <c r="J11" i="2"/>
  <c r="I11" i="2"/>
  <c r="H11" i="2"/>
  <c r="G11" i="2"/>
</calcChain>
</file>

<file path=xl/sharedStrings.xml><?xml version="1.0" encoding="utf-8"?>
<sst xmlns="http://schemas.openxmlformats.org/spreadsheetml/2006/main" count="13982" uniqueCount="1594">
  <si>
    <t>coicop_code</t>
  </si>
  <si>
    <t>susenas_code</t>
  </si>
  <si>
    <t>susenas_item</t>
  </si>
  <si>
    <t>food_group</t>
  </si>
  <si>
    <t>source</t>
  </si>
  <si>
    <t>cells_from_this_file</t>
  </si>
  <si>
    <t>energy_kcal_100g</t>
  </si>
  <si>
    <t>protein_g_100g</t>
  </si>
  <si>
    <t>fat_g_100g</t>
  </si>
  <si>
    <t>dha_epa_g_100g</t>
  </si>
  <si>
    <t>carbohydrate_g_100g</t>
  </si>
  <si>
    <t>fiber_g_100g</t>
  </si>
  <si>
    <t>ash_g_100g</t>
  </si>
  <si>
    <t>retinol_mcg_100g</t>
  </si>
  <si>
    <t>beta_carotene_mcg_100g</t>
  </si>
  <si>
    <t>thiamin_mg_100g</t>
  </si>
  <si>
    <t>riboflavin_mg_100g</t>
  </si>
  <si>
    <t>niacin_mg_100g</t>
  </si>
  <si>
    <t>vitamin_c_mg_100g</t>
  </si>
  <si>
    <t>calcium_mg_100g</t>
  </si>
  <si>
    <t>copper_mg_100g</t>
  </si>
  <si>
    <t>iron_mg_100g</t>
  </si>
  <si>
    <t>phosphorus_mg_100g</t>
  </si>
  <si>
    <t>potassium_mg_100g</t>
  </si>
  <si>
    <t>sodium_mg_100g</t>
  </si>
  <si>
    <t>zinc_mg_100g</t>
  </si>
  <si>
    <t>bdd_pct</t>
  </si>
  <si>
    <t>PADI-PADIAN</t>
  </si>
  <si>
    <t>food_category</t>
  </si>
  <si>
    <t>01.1.1.1.001</t>
  </si>
  <si>
    <t>Beras (beras lokal, kualitas unggul, impor)</t>
  </si>
  <si>
    <t>tkpi</t>
  </si>
  <si>
    <t>01.1.1.1.003</t>
  </si>
  <si>
    <t>Beras ketan</t>
  </si>
  <si>
    <t>01.1.1.1.006</t>
  </si>
  <si>
    <t>Jagung basah degan kulit</t>
  </si>
  <si>
    <t>01.1.1.1.005/2</t>
  </si>
  <si>
    <t>Jagung pipilan/beras jagung/jagung titi</t>
  </si>
  <si>
    <t>01.1.1.5.005</t>
  </si>
  <si>
    <t>Tepung terigu</t>
  </si>
  <si>
    <t>01.1.1</t>
  </si>
  <si>
    <t>Padi-padian lainnya</t>
  </si>
  <si>
    <t>UMBI-UMBIAN</t>
  </si>
  <si>
    <t>01.1.7.8.001</t>
  </si>
  <si>
    <t>Ketala pohon/singkong</t>
  </si>
  <si>
    <t>01.1.7.8.002</t>
  </si>
  <si>
    <t>Ketela rambat/ubi jalar</t>
  </si>
  <si>
    <t>01.1.1.5.007</t>
  </si>
  <si>
    <t>Sagu (bukan dari ketela pohon)</t>
  </si>
  <si>
    <t>01.1.7.8.004</t>
  </si>
  <si>
    <t>Talas/keladi</t>
  </si>
  <si>
    <t>01.1.7.7.001</t>
  </si>
  <si>
    <t>Kentang</t>
  </si>
  <si>
    <t>Gaplek</t>
  </si>
  <si>
    <t>01.1.7.8</t>
  </si>
  <si>
    <t>Umbi-umbian lainnya</t>
  </si>
  <si>
    <t>IKAN</t>
  </si>
  <si>
    <t>01.1.3.1.017</t>
  </si>
  <si>
    <t>Ekor kuning</t>
  </si>
  <si>
    <t>afcd</t>
  </si>
  <si>
    <t>01.1.3.1.069/72/13</t>
  </si>
  <si>
    <t>Tongkol, tuna, cakalang, dencis, ikan kayu</t>
  </si>
  <si>
    <t>01.1.3.1.065</t>
  </si>
  <si>
    <t>Tenggiri</t>
  </si>
  <si>
    <t>01.1.3.1.057</t>
  </si>
  <si>
    <t>Selar</t>
  </si>
  <si>
    <t>01.1.3.1.028</t>
  </si>
  <si>
    <t>Kembung, lema/tatare, banyar/banyara</t>
  </si>
  <si>
    <t>01.1.3.1.067</t>
  </si>
  <si>
    <t>Teri</t>
  </si>
  <si>
    <t>01.1.3.1.003</t>
  </si>
  <si>
    <t>Bandeng</t>
  </si>
  <si>
    <t>01.1.3.1.018</t>
  </si>
  <si>
    <t>Gabus</t>
  </si>
  <si>
    <t>01.1.3.1.045</t>
  </si>
  <si>
    <t>Mujair</t>
  </si>
  <si>
    <t>01.1.3.1.041/46</t>
  </si>
  <si>
    <t>Mas, nila</t>
  </si>
  <si>
    <t>01.1.3.1.035</t>
  </si>
  <si>
    <t>Lele</t>
  </si>
  <si>
    <t>01.1.3.1.023/24</t>
  </si>
  <si>
    <t>Kakap</t>
  </si>
  <si>
    <t>01.1.3.1.004</t>
  </si>
  <si>
    <t>Baronang</t>
  </si>
  <si>
    <t>01.1.3.1.051</t>
  </si>
  <si>
    <t>Patin</t>
  </si>
  <si>
    <t>01.1.3.1.006</t>
  </si>
  <si>
    <t>Bawal</t>
  </si>
  <si>
    <t>01.1.3.1.020</t>
  </si>
  <si>
    <t>Gurame</t>
  </si>
  <si>
    <t>01.1.3.1</t>
  </si>
  <si>
    <t>Ikan segar/basah lainnya</t>
  </si>
  <si>
    <t>01.1.3.2.004</t>
  </si>
  <si>
    <t>Udang, lobster</t>
  </si>
  <si>
    <t>01.1.3.2.001/6</t>
  </si>
  <si>
    <t>Cumi-cumi, sotong, gurita</t>
  </si>
  <si>
    <t>01.1.3.2.007/2/8</t>
  </si>
  <si>
    <t>Ketam, kepiting, rajungan</t>
  </si>
  <si>
    <t>01.1.3.2.003/10/12</t>
  </si>
  <si>
    <t>Kerang, siput, bekicot, remis</t>
  </si>
  <si>
    <t>01.1.3.2</t>
  </si>
  <si>
    <t>Udang dan hewan air lainnya yang segar lainnya</t>
  </si>
  <si>
    <t>01.1.3.3.021/26/37</t>
  </si>
  <si>
    <t>Kembung diawetkan/peda</t>
  </si>
  <si>
    <t>01.1.3.3.031</t>
  </si>
  <si>
    <t>Tenggiri diawetkan</t>
  </si>
  <si>
    <t>01.1.3.3.033/34/08</t>
  </si>
  <si>
    <t>Tongkol, tuna, cakalang, dencis, ikan kayu diawetkan</t>
  </si>
  <si>
    <t>01.1.3.3.032</t>
  </si>
  <si>
    <t>Teri diawetkan</t>
  </si>
  <si>
    <t>01.1.3.3.029</t>
  </si>
  <si>
    <t>Selar diawetkan</t>
  </si>
  <si>
    <t>01.1.3.3.036</t>
  </si>
  <si>
    <t>Sepat diawetkan</t>
  </si>
  <si>
    <t>01.1.3.3.002/3/4</t>
  </si>
  <si>
    <t>Bandeng diawetkan</t>
  </si>
  <si>
    <t>01.1.3.3.011</t>
  </si>
  <si>
    <t>Gabus diawetkan</t>
  </si>
  <si>
    <t>01.1.3.4.001</t>
  </si>
  <si>
    <t>Ikan dalam kaleng (sardencis, tuna dalam kaleng, dsb)</t>
  </si>
  <si>
    <t>01.1.3.3</t>
  </si>
  <si>
    <t>Ikan diawetkan lainnya</t>
  </si>
  <si>
    <t>01.1.3.3.035</t>
  </si>
  <si>
    <t>Udang diawetkan (ebi, rebon)</t>
  </si>
  <si>
    <t>01.1.3.3.009</t>
  </si>
  <si>
    <t>Cumi-cumi, sotong, gurita diawetkan</t>
  </si>
  <si>
    <t>Udang dan hewan air lainnya yang diawetkan lainnya</t>
  </si>
  <si>
    <t>DAGING</t>
  </si>
  <si>
    <t>01.1.2.1.001</t>
  </si>
  <si>
    <t>Daging sapi</t>
  </si>
  <si>
    <t>01.1.2.3.001</t>
  </si>
  <si>
    <t>Daging kambing, domba/biri-biri</t>
  </si>
  <si>
    <t>01.1.2.2.001</t>
  </si>
  <si>
    <t>Daging babi</t>
  </si>
  <si>
    <t>01.1.2.4.003</t>
  </si>
  <si>
    <t>Daging ayam ras</t>
  </si>
  <si>
    <t>01.1.2.4.002</t>
  </si>
  <si>
    <t>Daging ayam kampung</t>
  </si>
  <si>
    <t>01.1.2.1/22/23/24</t>
  </si>
  <si>
    <t>Daging segar lainnya</t>
  </si>
  <si>
    <t>01.1.2.5</t>
  </si>
  <si>
    <t>Daging diawetkan lainnya</t>
  </si>
  <si>
    <t>01.1.2.1.005</t>
  </si>
  <si>
    <t>Tetelan, sandung lamur</t>
  </si>
  <si>
    <t>01.1.2.7</t>
  </si>
  <si>
    <t>Lainnya ( hati, jeroan, iga, kaki, buntut, kepala, dsb)</t>
  </si>
  <si>
    <t>TELUR DAN SUSU</t>
  </si>
  <si>
    <t>01.1.4.7.002</t>
  </si>
  <si>
    <t>Telur ayam ras</t>
  </si>
  <si>
    <t>01.1.4.7.001</t>
  </si>
  <si>
    <t>Telur ayam kampung</t>
  </si>
  <si>
    <t>01.1.4.7.003</t>
  </si>
  <si>
    <t>Telur itik/telur itik manila</t>
  </si>
  <si>
    <t>01.1.4.7.005/11111003/01147004</t>
  </si>
  <si>
    <t>Telur lainnya (telur puyuh, telur asin mentah maupun matang, telur penyu, telur angsa, dsb)</t>
  </si>
  <si>
    <t>01.1.4.3.003</t>
  </si>
  <si>
    <t>Susu cair pabrik</t>
  </si>
  <si>
    <t>01.1.4.3.005</t>
  </si>
  <si>
    <t>Susu kental manis</t>
  </si>
  <si>
    <t>01.1.4.3.001/2</t>
  </si>
  <si>
    <t>Susu bubuk</t>
  </si>
  <si>
    <t>01.1.4.3.007</t>
  </si>
  <si>
    <t>Susu bubuk bayi</t>
  </si>
  <si>
    <t>01.1.4.1/45/46</t>
  </si>
  <si>
    <t>Susu lainnya dan hasil lain dari susu</t>
  </si>
  <si>
    <t>SAYUR-SAYURAN</t>
  </si>
  <si>
    <t>01.1.7.1.012</t>
  </si>
  <si>
    <t>Bayam</t>
  </si>
  <si>
    <t>01.1.7.1.014</t>
  </si>
  <si>
    <t>Kangkung</t>
  </si>
  <si>
    <t>01.1.7.2.001/2/3</t>
  </si>
  <si>
    <t>Kol/kubis</t>
  </si>
  <si>
    <t>01.1.7.1.016</t>
  </si>
  <si>
    <t>Sawi putih (petsai)</t>
  </si>
  <si>
    <t>01.1.7.1.015</t>
  </si>
  <si>
    <t>Sawi hijau</t>
  </si>
  <si>
    <t>01.1.7.3.003</t>
  </si>
  <si>
    <t>Buncis</t>
  </si>
  <si>
    <t>01.1.7.3.008</t>
  </si>
  <si>
    <t>Kacang panjang</t>
  </si>
  <si>
    <t>01.1.7.3.005</t>
  </si>
  <si>
    <t>Tomat sayur, tomat ceri</t>
  </si>
  <si>
    <t>01.1.7.4.001</t>
  </si>
  <si>
    <t>Wortel</t>
  </si>
  <si>
    <t>01.1.7.3.004</t>
  </si>
  <si>
    <t>Mentimun</t>
  </si>
  <si>
    <t>01.1.7.1.010</t>
  </si>
  <si>
    <t>Daun ketela pohon/daun singkong</t>
  </si>
  <si>
    <t>01.1.7.3.023/26</t>
  </si>
  <si>
    <t>Terong</t>
  </si>
  <si>
    <t>01.1.7.1.017</t>
  </si>
  <si>
    <t>Tauge</t>
  </si>
  <si>
    <t>01.1.7.3.014/15</t>
  </si>
  <si>
    <t>Labu, labu siam, labu parang</t>
  </si>
  <si>
    <t>01.1.7.1.026</t>
  </si>
  <si>
    <t>Bahan sayur sop/cap cay/ kimlo (paket)</t>
  </si>
  <si>
    <t>01.1.7.1.024/25</t>
  </si>
  <si>
    <t>Bahan sayur asam/lodeh (paket)</t>
  </si>
  <si>
    <t>01.1.7.3.017</t>
  </si>
  <si>
    <t>Nangka muda</t>
  </si>
  <si>
    <t>01.1.7.3.020</t>
  </si>
  <si>
    <t>Pepaya muda</t>
  </si>
  <si>
    <t>01.1.7.3.022</t>
  </si>
  <si>
    <t>Jengkol</t>
  </si>
  <si>
    <t>01.1.7.4.006</t>
  </si>
  <si>
    <t>Bawang merah</t>
  </si>
  <si>
    <t>01.1.7.4.007</t>
  </si>
  <si>
    <t>Bawang putih</t>
  </si>
  <si>
    <t>01.1.7.3.012</t>
  </si>
  <si>
    <t>Cabe merah</t>
  </si>
  <si>
    <t>01.1.7.3.016</t>
  </si>
  <si>
    <t>Cabe hijau</t>
  </si>
  <si>
    <t>01.1.7.3.013</t>
  </si>
  <si>
    <t>Cabe rawit</t>
  </si>
  <si>
    <t>01.1.7.1/72/73/74/76</t>
  </si>
  <si>
    <t>Sayur-sayuran lainnya</t>
  </si>
  <si>
    <t>KACANG-KACANGAN</t>
  </si>
  <si>
    <t>01.1.6.8.010</t>
  </si>
  <si>
    <t>Kacang tanah tanpa kulit</t>
  </si>
  <si>
    <t>01.1.6.8.004</t>
  </si>
  <si>
    <t>Kacang kedele</t>
  </si>
  <si>
    <t>01.1.6.8</t>
  </si>
  <si>
    <t>Kacang lainnya</t>
  </si>
  <si>
    <t>01.1.9.4.011</t>
  </si>
  <si>
    <t>Tahu</t>
  </si>
  <si>
    <t>01.1.9.4.013</t>
  </si>
  <si>
    <t>Tempe</t>
  </si>
  <si>
    <t>01.1.9.4.010</t>
  </si>
  <si>
    <t>Oncom</t>
  </si>
  <si>
    <t>01.1.9.4</t>
  </si>
  <si>
    <t>Hasil lain dari kacang-kacangan</t>
  </si>
  <si>
    <t>BUAH-BUAHAN</t>
  </si>
  <si>
    <t>01.1.6.1.001-33</t>
  </si>
  <si>
    <t>Jeruk, jeruk bali</t>
  </si>
  <si>
    <t>01.1.6.7.002-14</t>
  </si>
  <si>
    <t>Mangga</t>
  </si>
  <si>
    <t>01.1.6.3.001-9</t>
  </si>
  <si>
    <t>Apel</t>
  </si>
  <si>
    <t>01.1.6.7.040-49</t>
  </si>
  <si>
    <t>Rambutan</t>
  </si>
  <si>
    <t>01.1.6.7.050/098</t>
  </si>
  <si>
    <t>Duku, langsat</t>
  </si>
  <si>
    <t>01.1.6.7.059-85</t>
  </si>
  <si>
    <t>Durian</t>
  </si>
  <si>
    <t>01.1.6.5.008-11</t>
  </si>
  <si>
    <t>Salak</t>
  </si>
  <si>
    <t>01.1.6.2.001</t>
  </si>
  <si>
    <t>Pisang ambon</t>
  </si>
  <si>
    <t>01.1.6.2.002-14</t>
  </si>
  <si>
    <t>Pisang lainnya</t>
  </si>
  <si>
    <t>01.1.6.7.022-27</t>
  </si>
  <si>
    <t>Pepaya</t>
  </si>
  <si>
    <t>01.1.6.7.028-32</t>
  </si>
  <si>
    <t>Semangka</t>
  </si>
  <si>
    <t>01.1.7.3.002</t>
  </si>
  <si>
    <t>Tomat buah</t>
  </si>
  <si>
    <t>Buah-buahan lainnya</t>
  </si>
  <si>
    <t>MINYAK DAN KELAPA</t>
  </si>
  <si>
    <t>01.1.5.4.003</t>
  </si>
  <si>
    <t>Minyak kelapa</t>
  </si>
  <si>
    <t>01.1.5.4.001/4</t>
  </si>
  <si>
    <t>Minyak goreng (kelapa sawit, bunga matahari)</t>
  </si>
  <si>
    <t>01.1.6.7.033</t>
  </si>
  <si>
    <t>Kelapa (tidak termasuk santan instan)</t>
  </si>
  <si>
    <t>01.1.5.1/52/53/54</t>
  </si>
  <si>
    <t>Minyak dan kelapa lainnya</t>
  </si>
  <si>
    <t>BAHAN MINUMAN</t>
  </si>
  <si>
    <t>01.1.8.1.001</t>
  </si>
  <si>
    <t>Gula pasir</t>
  </si>
  <si>
    <t>01.1.8.1.002</t>
  </si>
  <si>
    <t>Gula merah, gula air (pohom aren, kelapa, lontar)</t>
  </si>
  <si>
    <t>01.2.1.2.001</t>
  </si>
  <si>
    <t>Teh bubuk</t>
  </si>
  <si>
    <t>01.2.1.2.002</t>
  </si>
  <si>
    <t>Teh celup (sachet)</t>
  </si>
  <si>
    <t>01.2.1.1.001</t>
  </si>
  <si>
    <t>Kopi (bubuk, biji)</t>
  </si>
  <si>
    <t>taco, usda</t>
  </si>
  <si>
    <t>01.2.1.1.002</t>
  </si>
  <si>
    <t>Kopi instan (sachet)</t>
  </si>
  <si>
    <t>01.2.2.2/3</t>
  </si>
  <si>
    <t>Bahan minuman lainnya</t>
  </si>
  <si>
    <t>BUMBU-BUMBUAN</t>
  </si>
  <si>
    <t>01.1.9.2.001</t>
  </si>
  <si>
    <t>Garam</t>
  </si>
  <si>
    <t>usda</t>
  </si>
  <si>
    <t>01.1.9.2.005</t>
  </si>
  <si>
    <t>Kemiri</t>
  </si>
  <si>
    <t>01.1.9.2.006</t>
  </si>
  <si>
    <t>Ketumbar/jinten</t>
  </si>
  <si>
    <t>01.1.9.2.007</t>
  </si>
  <si>
    <t>Merica/lada</t>
  </si>
  <si>
    <t>01.1.7.3.024</t>
  </si>
  <si>
    <t>Asam</t>
  </si>
  <si>
    <t>01.1.9.4.003/4</t>
  </si>
  <si>
    <t>Terasi/petis</t>
  </si>
  <si>
    <t>01.1.9.1.003</t>
  </si>
  <si>
    <t>Kecap</t>
  </si>
  <si>
    <t>01.1.9.4.008</t>
  </si>
  <si>
    <t>Penyedap masakan/vetsin</t>
  </si>
  <si>
    <t>brand, fao</t>
  </si>
  <si>
    <t>01.1.9.1.005</t>
  </si>
  <si>
    <t>Sambal jadi</t>
  </si>
  <si>
    <t>tkpi, usda</t>
  </si>
  <si>
    <t>01.1.9.1.006-7</t>
  </si>
  <si>
    <t>Saus tomat</t>
  </si>
  <si>
    <t>01.1.9.4.007</t>
  </si>
  <si>
    <t>Bumbu masak jadi/kemasan, bumbu racikan</t>
  </si>
  <si>
    <t>01.1.9.2.003/4</t>
  </si>
  <si>
    <t>Bumbu dapur lainnya (pala, jahe, kunyit, dsb)</t>
  </si>
  <si>
    <t>BAHAN MAKANAN LAINNYA</t>
  </si>
  <si>
    <t>01.1.1.5.012</t>
  </si>
  <si>
    <t>Mie instan</t>
  </si>
  <si>
    <t>01.1.1.5.018/19</t>
  </si>
  <si>
    <t>Kerupuk</t>
  </si>
  <si>
    <t>01.1.1.5.013</t>
  </si>
  <si>
    <t>Bubur bayi kemasan</t>
  </si>
  <si>
    <t>01.1.1.2/15/76/94</t>
  </si>
  <si>
    <t>Lainnya</t>
  </si>
  <si>
    <t>MAKANAN MINUMAN JADI</t>
  </si>
  <si>
    <t>01.1.1.2.005</t>
  </si>
  <si>
    <t>Roti tawar</t>
  </si>
  <si>
    <t>01.1.1.2.003</t>
  </si>
  <si>
    <t>Roti manis, roti lainnya</t>
  </si>
  <si>
    <t>11.1.1.1.025/044</t>
  </si>
  <si>
    <t>Kue kering, biskuit, semprong</t>
  </si>
  <si>
    <t>11.1.1.1.024/103/123</t>
  </si>
  <si>
    <t>Kue basah (kue lapis, bika ambon, lemper, dsb)</t>
  </si>
  <si>
    <t>11.1.1.1.133/83-89</t>
  </si>
  <si>
    <t>Makanan gorengan</t>
  </si>
  <si>
    <t>11.1.1.1.011</t>
  </si>
  <si>
    <t>Bubur kacang hijau</t>
  </si>
  <si>
    <t>11.1.1.1.015</t>
  </si>
  <si>
    <t>Gado-gado, ketoprak, pecel</t>
  </si>
  <si>
    <t>11.1.1.3.170</t>
  </si>
  <si>
    <t>Nasi campur/rames</t>
  </si>
  <si>
    <t>11.1.1.3.169</t>
  </si>
  <si>
    <t>Nasi goreng</t>
  </si>
  <si>
    <t>11.1.1.1.030</t>
  </si>
  <si>
    <t>Nasi putih</t>
  </si>
  <si>
    <t>11.1.1.1.023</t>
  </si>
  <si>
    <t>Lontong/ketupat sayur</t>
  </si>
  <si>
    <t>11.1.2.0.006/017/035/041/148</t>
  </si>
  <si>
    <t>Soto, gule, sop, rawon, cincang</t>
  </si>
  <si>
    <t>11.1.1.1.178-180</t>
  </si>
  <si>
    <t>Sayur matang (ditumis, disantan, dsb)</t>
  </si>
  <si>
    <t>11.1.1.1.040</t>
  </si>
  <si>
    <t>Sate, tongseng</t>
  </si>
  <si>
    <t>11.1.1.1.047</t>
  </si>
  <si>
    <t>Mie bakso, mie rebus, mie goreng</t>
  </si>
  <si>
    <t>11.1.1.1.029</t>
  </si>
  <si>
    <t>Mie instan (jadi)</t>
  </si>
  <si>
    <t>11.1.1.1.027</t>
  </si>
  <si>
    <t>Makanan ringan anak-anak, krupuk/kripik</t>
  </si>
  <si>
    <t>11.1.1.1.019</t>
  </si>
  <si>
    <t>Ikan matang</t>
  </si>
  <si>
    <t>11.1.1.1.007/8/11113034</t>
  </si>
  <si>
    <t>Ayam/daging matang (ayam goreng, rendang, dsb)</t>
  </si>
  <si>
    <t>11.1.1.1.004/11111208</t>
  </si>
  <si>
    <t>Daging olahan (sosis, nugget, daging asap, dsb) matang</t>
  </si>
  <si>
    <t>11.1.1.3.008</t>
  </si>
  <si>
    <t>Bubur ayam</t>
  </si>
  <si>
    <t>11.1.1.3.003</t>
  </si>
  <si>
    <t>Siomay, batagor</t>
  </si>
  <si>
    <t>tkpi, afcd, usda</t>
  </si>
  <si>
    <t>Makanan jadi lainnya</t>
  </si>
  <si>
    <t>11.1.1.1.058</t>
  </si>
  <si>
    <t>Air kemasan</t>
  </si>
  <si>
    <t>01.2.2.1.000</t>
  </si>
  <si>
    <t>Air kemasan galon</t>
  </si>
  <si>
    <t>11.1.1.1.055/059</t>
  </si>
  <si>
    <t>Air teh kemasan, minuman bersoda/mengandung CO2</t>
  </si>
  <si>
    <t>01.2.2.3-01225</t>
  </si>
  <si>
    <t>Sari buah kemasan, minuman kesehatan, minuman berenergi</t>
  </si>
  <si>
    <t>asean_fcd</t>
  </si>
  <si>
    <t>11.1.1.1.052-57</t>
  </si>
  <si>
    <t>Minuman jadi (kopi, kopi susu, teh, susu coklat, dsb)</t>
  </si>
  <si>
    <t>11.1.1.1.049</t>
  </si>
  <si>
    <t>Es krim</t>
  </si>
  <si>
    <t>11.1.1.1.051</t>
  </si>
  <si>
    <t>Es lainnya</t>
  </si>
  <si>
    <t>02.1.1.0.000</t>
  </si>
  <si>
    <t>Minuman keras</t>
  </si>
  <si>
    <t>fct_source</t>
  </si>
  <si>
    <t>fct_source_codes</t>
  </si>
  <si>
    <t>records_bought</t>
  </si>
  <si>
    <t>nutrient</t>
  </si>
  <si>
    <t>unit</t>
  </si>
  <si>
    <t>status</t>
  </si>
  <si>
    <t>method</t>
  </si>
  <si>
    <t>value</t>
  </si>
  <si>
    <t>source_table</t>
  </si>
  <si>
    <t>source_id</t>
  </si>
  <si>
    <t>source_food</t>
  </si>
  <si>
    <t>source_value</t>
  </si>
  <si>
    <t>source_unit</t>
  </si>
  <si>
    <t>conversion</t>
  </si>
  <si>
    <t>source_url</t>
  </si>
  <si>
    <t>source_url_2</t>
  </si>
  <si>
    <t>source_url_3</t>
  </si>
  <si>
    <t>cause</t>
  </si>
  <si>
    <t>note</t>
  </si>
  <si>
    <t>AP052; AR005; AR006; AR016; AR017; AR018</t>
  </si>
  <si>
    <t>mcg</t>
  </si>
  <si>
    <t>filled</t>
  </si>
  <si>
    <t>zero_by_biology</t>
  </si>
  <si>
    <t>none</t>
  </si>
  <si>
    <t>NIH ODS Vitamin A fact sheet (2025); FAO/INFOODS Guidelines for Food Matching v1.2 (2012); USDA SR Legacy documentation (2019)</t>
  </si>
  <si>
    <t>rule: preformed vitamin A occurs only in animal-source foods</t>
  </si>
  <si>
    <t>not printed in TKPI 2020 (plant food)</t>
  </si>
  <si>
    <t>https://ods.od.nih.gov/factsheets/VitaminA-HealthProfessional/</t>
  </si>
  <si>
    <t>https://www.fao.org/fileadmin/templates/food_composition/documents/upload/INFOODSGuidelinesforFoodMatching_version_1_2.pdf</t>
  </si>
  <si>
    <t>https://www.ars.usda.gov/ARSUserFiles/80400535/DATA/SR-Legacy/SR-Legacy_Doc.pdf</t>
  </si>
  <si>
    <t>TKPI prints no retinol for this plant food</t>
  </si>
  <si>
    <t>Retinol is preformed vitamin A and occurs only in animal foods; the source leaves the cell empty rather than printing 0. Vitamin A activity of this food comes through beta_carotene. Evidence: NIH Office of Dietary Supplements, Vitamin A and Carotenoids fact sheet (updated 10 Mar 2025): 'Preformed vitamin A is found in foods from animal sources, including dairy products, eggs, fish, and organ meats'; 'the plant-based foods have provitamin A'. USDA FoodData Central applies the same rule as its derivation code 'Assumed zero (Insignificant amount or not naturally occurring in a food)', e.g. retinol 0 for instant coffee (SR Legacy 171893). The FAO/INFOODS Guidelines for Food Matching (v1.2, 2012) list 'assuming a zero value, e.g. no fibre in meat' among the accepted ways to fill a missing value for a nutrient a food cannot contain, and the USDA SR Legacy documentation defines 'assumed zero' as one of its source-code types alongside analytical and calculated values</t>
  </si>
  <si>
    <t>g</t>
  </si>
  <si>
    <t>rule</t>
  </si>
  <si>
    <t>rule: DHA and EPA are long-chain omega-3 fatty acids of aquatic origin; a food without an aquatic ingredient contains none in measurable amounts</t>
  </si>
  <si>
    <t>not printed by the source</t>
  </si>
  <si>
    <t>cell replaced: the constant 1 g dha_epa assigned to every non-aquatic item is set to 0</t>
  </si>
  <si>
    <t>No aquatic ingredient, so dha_epa = 0.</t>
  </si>
  <si>
    <t>BP066</t>
  </si>
  <si>
    <t>HR001</t>
  </si>
  <si>
    <t>mg</t>
  </si>
  <si>
    <t>borrowed</t>
  </si>
  <si>
    <t>USDA FoodData Central, SR Legacy</t>
  </si>
  <si>
    <t>FDC 171287 (NDB 1123)</t>
  </si>
  <si>
    <t>Egg, whole, raw, fresh</t>
  </si>
  <si>
    <t>https://fdc.nal.usda.gov/food-details/171287/nutrients</t>
  </si>
  <si>
    <t>TKPI prints no value for any pooled code</t>
  </si>
  <si>
    <t>whole raw egg; eggs contain no vitamin C</t>
  </si>
  <si>
    <t>HR005; HR008</t>
  </si>
  <si>
    <t>FDC 172189 (NDB 1138)</t>
  </si>
  <si>
    <t>Egg, duck, whole, fresh, raw</t>
  </si>
  <si>
    <t>https://fdc.nal.usda.gov/food-details/172189/nutrients</t>
  </si>
  <si>
    <t>whole raw duck egg</t>
  </si>
  <si>
    <t>DR100; DR101</t>
  </si>
  <si>
    <t>DR044; DR114</t>
  </si>
  <si>
    <t>DR160; DR161; DR162</t>
  </si>
  <si>
    <t>DR166</t>
  </si>
  <si>
    <t>DR121; DR122; DR123; DR124</t>
  </si>
  <si>
    <t>DR130</t>
  </si>
  <si>
    <t>DR133</t>
  </si>
  <si>
    <t>DR093</t>
  </si>
  <si>
    <t>Malaysian Food Composition Database 1997 (MyFCD)</t>
  </si>
  <si>
    <t>NDB 106036</t>
  </si>
  <si>
    <t>Jering (Pithecellobium lobatum / P. jiringa)</t>
  </si>
  <si>
    <t>https://myfcd.moh.gov.my/myfcd97/index.php/site/detail_product/106036/0/10/-1/0/0/</t>
  </si>
  <si>
    <t>jering is the Malay name of jengkol, same species. MyFCD reports total Carotenes, not beta-carotene alone; the value is used as beta_carotene and is therefore an upper bound</t>
  </si>
  <si>
    <t>NR007</t>
  </si>
  <si>
    <t>NR008</t>
  </si>
  <si>
    <t>NR014</t>
  </si>
  <si>
    <t>NR012</t>
  </si>
  <si>
    <t>NR015</t>
  </si>
  <si>
    <t>CR017; CR018; CR021</t>
  </si>
  <si>
    <t>FDC 174270 (NDB 16108)</t>
  </si>
  <si>
    <t>Soybeans, mature seeds, raw</t>
  </si>
  <si>
    <t>https://fdc.nal.usda.gov/food-details/174270/nutrients</t>
  </si>
  <si>
    <t>raw dry soybean, the same food; page read directly. MyFCD 1997 103013 gives 7.5 mg and ASEAN AAC87 5 mg for the same food</t>
  </si>
  <si>
    <t>CP037; CP061</t>
  </si>
  <si>
    <t>FDC 172476 (NDB 16126)</t>
  </si>
  <si>
    <t>Tofu, raw, regular, prepared with calcium sulfate</t>
  </si>
  <si>
    <t>https://fdc.nal.usda.gov/food-details/172476/nutrients</t>
  </si>
  <si>
    <t>plain raw tofu</t>
  </si>
  <si>
    <t>CP051; CP052; CP053; CP054</t>
  </si>
  <si>
    <t>TKPI 2020</t>
  </si>
  <si>
    <t>KODE CP077</t>
  </si>
  <si>
    <t>Tempe kedelai murni, mentah</t>
  </si>
  <si>
    <t>oncom is a fermented press cake of peanut or soy residue; TKPI raw soybean tempe is the nearest fermented legume cake in the primary source (preferred over MyFCD tempeh). Item never bought in the 2020 survey (0 records)</t>
  </si>
  <si>
    <t>ER035; ER036; ER037; ER038; ER039; ER040; ER041</t>
  </si>
  <si>
    <t>ER003; ER004</t>
  </si>
  <si>
    <t>ER096; ER097</t>
  </si>
  <si>
    <t>ER022; ER049; ER051</t>
  </si>
  <si>
    <t>ER023</t>
  </si>
  <si>
    <t>ER074</t>
  </si>
  <si>
    <t>ER105</t>
  </si>
  <si>
    <t>KR012</t>
  </si>
  <si>
    <t>gap_filling</t>
  </si>
  <si>
    <t>usda:2088673</t>
  </si>
  <si>
    <t>TACO, Tabela Brasileira de Composicao de Alimentos, 4th ed. (NEPA/UNICAMP 2011), Tabela 1</t>
  </si>
  <si>
    <t>TACO 511</t>
  </si>
  <si>
    <t>Cafe, po, torrado</t>
  </si>
  <si>
    <t>https://cfn.org.br/wp-content/uploads/2017/03/taco_4_edicao_ampliada_e_revisada.pdf</t>
  </si>
  <si>
    <t>no recipe ingredient reports it (label-only USDA products)</t>
  </si>
  <si>
    <t>roasted ground coffee, the dry product recorded in SUSENAS; TACO item 511 Cafe, po, torrado, analysed values per 100 g (pages 58 and 90 of the printed table). The Brazilian table matches the Brazilian product chosen for the recipe</t>
  </si>
  <si>
    <t>FDC 171893 (NDB 14214)</t>
  </si>
  <si>
    <t>Beverages, coffee, instant, regular, powder</t>
  </si>
  <si>
    <t>https://fdc.nal.usda.gov/food-details/171893/nutrients</t>
  </si>
  <si>
    <t>no table analyses carotenoids in roasted coffee grounds (TACO 511 has no carotene column). USDA's dry instant coffee reports beta-carotene 0, itself derived from another form of the food; roasting destroys carotenoids, so 0 is used for the grounds as well</t>
  </si>
  <si>
    <t>not reported by any recipe ingredient (plant foods)</t>
  </si>
  <si>
    <t>Tr</t>
  </si>
  <si>
    <t>trace taken as 0</t>
  </si>
  <si>
    <t>roasted ground coffee, the dry product recorded in SUSENAS; TACO item 511 Cafe, po, torrado, analysed values per 100 g (pages 58 and 90 of the printed table). The Brazilian table matches the Brazilian product chosen for the recipe. TACO prints Tr (traco), defined in its legend as a value that rounds to between 0 and 0.05 at one decimal, or below the detection limit; recorded here as 0</t>
  </si>
  <si>
    <t>kcal</t>
  </si>
  <si>
    <t>cell replaced: the USDA Branded label (per 5 g serving, coarse rounding) gives way to the TACO analysis already used for the other nutrients of this item</t>
  </si>
  <si>
    <t>Roasted ground coffee, TACO Tabela 1 (pages 58 and 60 of the table): the same entry that supplies the other nutrients of this item, so the whole item now comes from one analysed table instead of a USDA label. Magnesium 165 and manganese 2.58 mg are printed but outside the panel.</t>
  </si>
  <si>
    <t>%</t>
  </si>
  <si>
    <t>no edible-portion figure in the source; product consumed whole</t>
  </si>
  <si>
    <t>consumed whole</t>
  </si>
  <si>
    <t>cell documented: bdd of a single-source item</t>
  </si>
  <si>
    <t>TACO reports no edible-portion figure; ground coffee is used whole, so bdd = 100 (TKPI gives BDD 100 for kopi bubuk instan, the nearest table entry).</t>
  </si>
  <si>
    <t>MP009</t>
  </si>
  <si>
    <t>usda:746775</t>
  </si>
  <si>
    <t>USDA FoodData Central, Foundation</t>
  </si>
  <si>
    <t>FDC 746775</t>
  </si>
  <si>
    <t>Salt, table, iodized</t>
  </si>
  <si>
    <t>https://fdc.nal.usda.gov/food-details/746775/nutrients</t>
  </si>
  <si>
    <t>cell replaced: the item is taken whole from one entry</t>
  </si>
  <si>
    <t>proxy for Garam Cap Kapal; iodine 5,080 mcg/100 g = 50.8 ppm, inside the SNI 30-80 ppm KIO3 range; organics zero by composition</t>
  </si>
  <si>
    <t>NR019</t>
  </si>
  <si>
    <t>NR020</t>
  </si>
  <si>
    <t>NR023</t>
  </si>
  <si>
    <t>FDC 170931 (NDB 2030)</t>
  </si>
  <si>
    <t>Spices, pepper, black</t>
  </si>
  <si>
    <t>https://fdc.nal.usda.gov/food-details/170931/nutrients</t>
  </si>
  <si>
    <t>black pepper, dry</t>
  </si>
  <si>
    <t>NR001; NR002; NR003; NR004; NR005; NR006</t>
  </si>
  <si>
    <t>NP006; NP007; NP008; NP011; NP012; NP013</t>
  </si>
  <si>
    <t>NDB 110090</t>
  </si>
  <si>
    <t>Shrimp paste (Belacan)</t>
  </si>
  <si>
    <t>https://myfcd.moh.gov.my/myfcd97/index.php/site/detail_product/110090/0/10/-1/0/0/</t>
  </si>
  <si>
    <t>belacan is the Malay shrimp paste, the same product as terasi; MyFCD prints Retinol separately from Carotenes</t>
  </si>
  <si>
    <t>zero_by_composition</t>
  </si>
  <si>
    <t>floor: the item contains aquatic ingredients (shrimp and fish pastes (6 of 6 codes)) but its source reports no DHA or EPA</t>
  </si>
  <si>
    <t>Contains aquatic ingredients (shrimp and fish pastes (6 of 6 codes)) whose source (TKPI) reports no DHA or EPA, so 0 is a floor, not an estimate; borrowing a fish-book value for the aquatic share is an open decision.</t>
  </si>
  <si>
    <t>NP005</t>
  </si>
  <si>
    <t>FDC 174277 (NDB 16123)</t>
  </si>
  <si>
    <t>Soy sauce made from soy and wheat (shoyu)</t>
  </si>
  <si>
    <t>https://fdc.nal.usda.gov/food-details/174277/nutrients</t>
  </si>
  <si>
    <t>kecap is a soy-and-wheat sauce; the sweetened Indonesian form has no USDA entry, so the plain shoyu stands in for the micronutrients of the soy base</t>
  </si>
  <si>
    <t>see beta_carotene row</t>
  </si>
  <si>
    <t>usda:2449440; usda:2032559</t>
  </si>
  <si>
    <t>Ajinomoto North America, Monosodium Glutamate (MSG) Nutritional Information, Form 5092 (06/19 form; the 08/12 form prints identical values)</t>
  </si>
  <si>
    <t>Form 5092 (06/19); Form 5092 (08/12)</t>
  </si>
  <si>
    <t>Monosodium Glutamate (MSG), as purchased</t>
  </si>
  <si>
    <t>% (g per 100 g)</t>
  </si>
  <si>
    <t>https://ingredi.com/content/pdfs/MSG_Nutritional_Data.pdf</t>
  </si>
  <si>
    <t>Measured ash of pure MSG, 27.8 g per 100 g; replaces the value derived earlier by stoichiometry (sodium 12.28 g x 105.99/45.98 = 28.31 g, within 2% of the measurement). Manufacturer analysis of pure MSG per 100 g as purchased (Ajinomoto, the maker of the AJI-NO-MOTO sold in Indonesia; the 2021 Ajinomoto Australia specification for the same product states country of origin Indonesia and the same energy 1180 kJ and sodium 12,300 mg). Sodium 12,300 mg = 12.3%, matching the 12.28% of pure C5H8NNaO4.H2O, so the sample is essentially pure MSG. A copy of the 06/19 form is kept with the project files.</t>
  </si>
  <si>
    <t>n.d. (not detected), Vitamin A in mcg retinol equivalents</t>
  </si>
  <si>
    <t>not detected taken as 0</t>
  </si>
  <si>
    <t>Vitamin A (retinol equivalents, which include provitamin A carotenoids) not detected in pure MSG, so beta-carotene is 0. Manufacturer analysis of pure MSG per 100 g as purchased (Ajinomoto, the maker of the AJI-NO-MOTO sold in Indonesia; the 2021 Ajinomoto Australia specification for the same product states country of origin Indonesia and the same energy 1180 kJ and sodium 12,300 mg). Sodium 12,300 mg = 12.3%, matching the 12.28% of pure C5H8NNaO4.H2O, so the sample is essentially pure MSG. A copy of the 06/19 form is kept with the project files.</t>
  </si>
  <si>
    <t>Measured calcium in pure MSG (a trace impurity, 0.02%). Manufacturer analysis of pure MSG per 100 g as purchased (Ajinomoto, the maker of the AJI-NO-MOTO sold in Indonesia; the 2021 Ajinomoto Australia specification for the same product states country of origin Indonesia and the same energy 1180 kJ and sodium 12,300 mg). Sodium 12,300 mg = 12.3%, matching the 12.28% of pure C5H8NNaO4.H2O, so the sample is essentially pure MSG. A copy of the 06/19 form is kept with the project files.</t>
  </si>
  <si>
    <t>JECFA specification (FAO JECFA Monographs 1, 2006) and Commission Regulation (EU) No 231/2012, as tabulated in EFSA Journal 2017;15(7):4910</t>
  </si>
  <si>
    <t>INS 621; CAS 6106-04-3</t>
  </si>
  <si>
    <t>Monosodium L-glutamate (specification)</t>
  </si>
  <si>
    <t>not a constituent of monosodium L-glutamate (assay &gt;= 99.0%)</t>
  </si>
  <si>
    <t>https://www.fao.org/food/food-safety-quality/scientific-advice/jecfa/jecfa-additives/detail/en/c/141/</t>
  </si>
  <si>
    <t>https://pmc.ncbi.nlm.nih.gov/articles/PMC7009848/</t>
  </si>
  <si>
    <t>https://openknowledge.fao.org/server/api/core/bitstreams/598c01fd-2ea5-4957-959d-adb1e04f87d1/content</t>
  </si>
  <si>
    <t>MSG is a single chemical compound, monosodium L-glutamate monohydrate (C5H8NNaO4.H2O, formula weight 187.13). The JECFA specification requires an assay of not less than 99.0% on the dried basis, loss on drying at most 0.5%, chlorides at most 0.2%, lead at most 1 mg/kg; the EU specification (Regulation 231/2012) is the same. Anything not glutamate, sodium or water is at most about 1% impurity, so a nutrient with no place in the molecule is 0 within the precision of the table. The Ajinomoto sheet (08/12 form) lists copper as n.a. (not analysed); no compiled table reports copper for pure MSG. For comparison, the China Food Composition Table entry for MSG (China CDC platform, https://nlc.chinanutri.cn/fq/foodinfo/1566.html) prints copper 0.12, zinc 0.31, thiamin 0.08, riboflavin 0.00, niacin 0.30 mg, calcium 100, iron 1.2 mg per 100 g, but that sample is not pure MSG (sodium 8,160 mg, ash 33.0 g, protein 40.1 g, carbohydrate 26.5 g by difference), so it is not adopted for the Indonesian product (&gt;= 99% MSG).</t>
  </si>
  <si>
    <t>Measured iron in pure MSG (a trace impurity). Manufacturer analysis of pure MSG per 100 g as purchased (Ajinomoto, the maker of the AJI-NO-MOTO sold in Indonesia; the 2021 Ajinomoto Australia specification for the same product states country of origin Indonesia and the same energy 1180 kJ and sodium 12,300 mg). Sodium 12,300 mg = 12.3%, matching the 12.28% of pure C5H8NNaO4.H2O, so the sample is essentially pure MSG. A copy of the 06/19 form is kept with the project files.</t>
  </si>
  <si>
    <t>MSG is a single chemical compound, monosodium L-glutamate monohydrate (C5H8NNaO4.H2O, formula weight 187.13). The JECFA specification requires an assay of not less than 99.0% on the dried basis, loss on drying at most 0.5%, chlorides at most 0.2%, lead at most 1 mg/kg; the EU specification (Regulation 231/2012) is the same. Anything not glutamate, sodium or water is at most about 1% impurity, so a nutrient with no place in the molecule is 0 within the precision of the table. Not reported on the Ajinomoto sheet. For comparison, the China Food Composition Table entry for MSG (China CDC platform, https://nlc.chinanutri.cn/fq/foodinfo/1566.html) prints copper 0.12, zinc 0.31, thiamin 0.08, riboflavin 0.00, niacin 0.30 mg, calcium 100, iron 1.2 mg per 100 g, but that sample is not pure MSG (sodium 8,160 mg, ash 33.0 g, protein 40.1 g, carbohydrate 26.5 g by difference), so it is not adopted for the Indonesian product (&gt;= 99% MSG).</t>
  </si>
  <si>
    <t>Measured phosphorus in pure MSG (a trace impurity). Manufacturer analysis of pure MSG per 100 g as purchased (Ajinomoto, the maker of the AJI-NO-MOTO sold in Indonesia; the 2021 Ajinomoto Australia specification for the same product states country of origin Indonesia and the same energy 1180 kJ and sodium 12,300 mg). Sodium 12,300 mg = 12.3%, matching the 12.28% of pure C5H8NNaO4.H2O, so the sample is essentially pure MSG. A copy of the 06/19 form is kept with the project files.</t>
  </si>
  <si>
    <t>Measured potassium in pure MSG (a trace impurity). Manufacturer analysis of pure MSG per 100 g as purchased (Ajinomoto, the maker of the AJI-NO-MOTO sold in Indonesia; the 2021 Ajinomoto Australia specification for the same product states country of origin Indonesia and the same energy 1180 kJ and sodium 12,300 mg). Sodium 12,300 mg = 12.3%, matching the 12.28% of pure C5H8NNaO4.H2O, so the sample is essentially pure MSG. A copy of the 06/19 form is kept with the project files.</t>
  </si>
  <si>
    <t>Vitamin A (retinol equivalents) not detected in pure MSG, so retinol is 0. MSG is a manufactured single compound with no animal ingredient. Manufacturer analysis of pure MSG per 100 g as purchased (Ajinomoto, the maker of the AJI-NO-MOTO sold in Indonesia; the 2021 Ajinomoto Australia specification for the same product states country of origin Indonesia and the same energy 1180 kJ and sodium 12,300 mg). Sodium 12,300 mg = 12.3%, matching the 12.28% of pure C5H8NNaO4.H2O, so the sample is essentially pure MSG. A copy of the 06/19 form is kept with the project files.</t>
  </si>
  <si>
    <t>MSG is a single chemical compound, monosodium L-glutamate monohydrate (C5H8NNaO4.H2O, formula weight 187.13). The JECFA specification requires an assay of not less than 99.0% on the dried basis, loss on drying at most 0.5%, chlorides at most 0.2%, lead at most 1 mg/kg; the EU specification (Regulation 231/2012) is the same. Anything not glutamate, sodium or water is at most about 1% impurity, so a nutrient with no place in the molecule is 0 within the precision of the table. Not reported on the Ajinomoto sheet; the China entry prints riboflavin 0.00 mg. For comparison, the China Food Composition Table entry for MSG (China CDC platform, https://nlc.chinanutri.cn/fq/foodinfo/1566.html) prints copper 0.12, zinc 0.31, thiamin 0.08, riboflavin 0.00, niacin 0.30 mg, calcium 100, iron 1.2 mg per 100 g, but that sample is not pure MSG (sodium 8,160 mg, ash 33.0 g, protein 40.1 g, carbohydrate 26.5 g by difference), so it is not adopted for the Indonesian product (&gt;= 99% MSG).</t>
  </si>
  <si>
    <t>n.d. (not detected)</t>
  </si>
  <si>
    <t>Vitamin C not detected in pure MSG, so 0. Manufacturer analysis of pure MSG per 100 g as purchased (Ajinomoto, the maker of the AJI-NO-MOTO sold in Indonesia; the 2021 Ajinomoto Australia specification for the same product states country of origin Indonesia and the same energy 1180 kJ and sodium 12,300 mg). Sodium 12,300 mg = 12.3%, matching the 12.28% of pure C5H8NNaO4.H2O, so the sample is essentially pure MSG. A copy of the 06/19 form is kept with the project files.</t>
  </si>
  <si>
    <t>MSG is a single chemical compound, monosodium L-glutamate monohydrate (C5H8NNaO4.H2O, formula weight 187.13). The JECFA specification requires an assay of not less than 99.0% on the dried basis, loss on drying at most 0.5%, chlorides at most 0.2%, lead at most 1 mg/kg; the EU specification (Regulation 231/2012) is the same. Anything not glutamate, sodium or water is at most about 1% impurity, so a nutrient with no place in the molecule is 0 within the precision of the table. The Ajinomoto sheet (08/12 form) lists zinc as n.a. (not analysed); no compiled table reports zinc for pure MSG. For comparison, the China Food Composition Table entry for MSG (China CDC platform, https://nlc.chinanutri.cn/fq/foodinfo/1566.html) prints copper 0.12, zinc 0.31, thiamin 0.08, riboflavin 0.00, niacin 0.30 mg, calcium 100, iron 1.2 mg per 100 g, but that sample is not pure MSG (sodium 8,160 mg, ash 33.0 g, protein 40.1 g, carbohydrate 26.5 g by difference), so it is not adopted for the Indonesian product (&gt;= 99% MSG).</t>
  </si>
  <si>
    <t>cell replaced: the two USDA Branded label products (12,500 mg sodium, 0 kcal from label rounding) give way to the manufacturer analysis of pure MSG</t>
  </si>
  <si>
    <t>Manufacturer analysis of pure MSG per 100 g as purchased; energy 282 kcal is the energy of the glutamate itself, not an Atwater value. See the other item 141 rows for the remaining nutrients.</t>
  </si>
  <si>
    <t>n.e. (not expected)</t>
  </si>
  <si>
    <t>The Ajinomoto analysis reports no edible-portion figure; a seasoning powder is used whole, so bdd = 100.</t>
  </si>
  <si>
    <t>NP009</t>
  </si>
  <si>
    <t>AP022</t>
  </si>
  <si>
    <t>FDC 171177 (NDB 6583)</t>
  </si>
  <si>
    <t>Soup, ramen noodle, any flavor, dry</t>
  </si>
  <si>
    <t>https://fdc.nal.usda.gov/food-details/171177/nutrients</t>
  </si>
  <si>
    <t>cell replaced: TKPI AP022 Mi kering (plain dry noodle, carbohydrate printed as 6.3 g) does not describe instant noodle with its seasoning; the whole item is sourced from one analysed entry</t>
  </si>
  <si>
    <t>Dry instant noodle block with seasoning, analysed (24 samples), full panel. Same source family as item 167. Checked for an Indonesian brand: USDA Branded 2677255 Indomie chicken instant noodles (label) prints only 11 nutrients, no copper, zinc, phosphorus, potassium or B vitamins, so it cannot supply the panel; its energy 429 kcal and sodium 1,690 mg per 100 g agree with the analysed SR entry (440, 1,860).</t>
  </si>
  <si>
    <t>FDC 170969 (NDB 3194)</t>
  </si>
  <si>
    <t>Babyfood, cereal, rice, dry fortified</t>
  </si>
  <si>
    <t>https://fdc.nal.usda.gov/food-details/170969/nutrients</t>
  </si>
  <si>
    <t>AP103; AP104</t>
  </si>
  <si>
    <t>FDC 174107 (NDB 28348)</t>
  </si>
  <si>
    <t>Rolls, dinner, sweet</t>
  </si>
  <si>
    <t>https://fdc.nal.usda.gov/food-details/174107/nutrients</t>
  </si>
  <si>
    <t>sweet bun, commercially prepared; the nearest USDA entry to roti manis</t>
  </si>
  <si>
    <t>USDA fiber is total dietary fiber</t>
  </si>
  <si>
    <t>usda:1852651; usda:746775; tkpi:BP070; tkpi:CP061; tkpi:BR013; tkpi:DR044; tkpi:HR002; tkpi:NR008; tkpi:KR012; aquatic:19</t>
  </si>
  <si>
    <t>recipe</t>
  </si>
  <si>
    <t>fish book (Harvard AFCD) tenggiri row, share-weighted</t>
  </si>
  <si>
    <t>afcd:19</t>
  </si>
  <si>
    <t>Ikan tenggiri, segar (22% of the recipe: siomay 12 + batagor 10)</t>
  </si>
  <si>
    <t>share x fish-book dha_epa</t>
  </si>
  <si>
    <t>fish book</t>
  </si>
  <si>
    <t>the only recipe with a fish ingredient, so dha_epa is not the constant 1</t>
  </si>
  <si>
    <t>Unchanged by the rebuild: the fish share is still 22.</t>
  </si>
  <si>
    <t>FDC 174158 (NDB 14555)</t>
  </si>
  <si>
    <t>Water, bottled, generic</t>
  </si>
  <si>
    <t>https://fdc.nal.usda.gov/food-details/174158/nutrients</t>
  </si>
  <si>
    <t>USDA SR Legacy 174158 Water, bottled, generic (analysed mean of generic bottled waters): calcium 10, magnesium 2, sodium 2, potassium 0 mg, copper 0.007 mg, ash 0.07 g per 100 g; every other panel nutrient 0. Replaces the earlier single-brand nutrition-label values (calcium 0.914, potassium 0.3, sodium 3.5 mg) so that water carries the same public, citable source as the other USDA entries.</t>
  </si>
  <si>
    <t>form of the product</t>
  </si>
  <si>
    <t>USDA SR Legacy reports no edible-portion figure; a drink is consumed whole, so bdd = 100 (the FCT rule for fully consumed drinks).</t>
  </si>
  <si>
    <t>FDC 171888 (NDB 14199); FDC 174852 (NDB 14148); FDC 173205 (NDB 14144)</t>
  </si>
  <si>
    <t>Beverages, tea, black, ready-to-drink, lemon, sweetened; Beverages, carbonated, cola, regular; Beverages, carbonated, lemon-lime soda, no caffeine</t>
  </si>
  <si>
    <t>mean of 3 entries</t>
  </si>
  <si>
    <t>https://fdc.nal.usda.gov/food-details/171888/nutrients</t>
  </si>
  <si>
    <t>https://fdc.nal.usda.gov/food-details/174852/nutrients</t>
  </si>
  <si>
    <t>https://fdc.nal.usda.gov/food-details/173205/nutrients</t>
  </si>
  <si>
    <t>Mean of three SR Legacy drinks per 100 g (45.0, 42.0, 41.0): sweetened bottled tea, regular cola and lemon-lime soda, the drinks the SUSENAS item names. SR Legacy carries the full panel, so one table supplies every nutrient; bdd stays 100 (fully consumed).</t>
  </si>
  <si>
    <t>Mean of three SR Legacy drinks per 100 g (0.0, 0.0, 0.09): sweetened bottled tea, regular cola and lemon-lime soda, the drinks the SUSENAS item names. SR Legacy carries the full panel, so one table supplies every nutrient; bdd stays 100 (fully consumed).</t>
  </si>
  <si>
    <t>Mean of three SR Legacy drinks per 100 g (0.22, 0.25, 0.0): sweetened bottled tea, regular cola and lemon-lime soda, the drinks the SUSENAS item names. SR Legacy carries the full panel, so one table supplies every nutrient; bdd stays 100 (fully consumed).</t>
  </si>
  <si>
    <t>Mean of three SR Legacy drinks per 100 g (10.8, 10.36, 10.42): sweetened bottled tea, regular cola and lemon-lime soda, the drinks the SUSENAS item names. SR Legacy carries the full panel, so one table supplies every nutrient; bdd stays 100 (fully consumed).</t>
  </si>
  <si>
    <t>Mean of three SR Legacy drinks per 100 g (0.0, 0.0, 0.0): sweetened bottled tea, regular cola and lemon-lime soda, the drinks the SUSENAS item names. SR Legacy carries the full panel, so one table supplies every nutrient; bdd stays 100 (fully consumed).</t>
  </si>
  <si>
    <t>Mean of three SR Legacy drinks per 100 g (0.03, 0.04, 0.0): sweetened bottled tea, regular cola and lemon-lime soda, the drinks the SUSENAS item names. SR Legacy carries the full panel, so one table supplies every nutrient; bdd stays 100 (fully consumed).</t>
  </si>
  <si>
    <t>Mean of three SR Legacy drinks per 100 g (0.0, 0.0, 0.015): sweetened bottled tea, regular cola and lemon-lime soda, the drinks the SUSENAS item names. SR Legacy carries the full panel, so one table supplies every nutrient; bdd stays 100 (fully consumed).</t>
  </si>
  <si>
    <t>Mean of three SR Legacy drinks per 100 g (4.0, 1.0, 2.0): sweetened bottled tea, regular cola and lemon-lime soda, the drinks the SUSENAS item names. SR Legacy carries the full panel, so one table supplies every nutrient; bdd stays 100 (fully consumed).</t>
  </si>
  <si>
    <t>Mean of three SR Legacy drinks per 100 g (0.006, 0.007, 0.0): sweetened bottled tea, regular cola and lemon-lime soda, the drinks the SUSENAS item names. SR Legacy carries the full panel, so one table supplies every nutrient; bdd stays 100 (fully consumed).</t>
  </si>
  <si>
    <t>Mean of three SR Legacy drinks per 100 g (0.0, 0.02, 0.02): sweetened bottled tea, regular cola and lemon-lime soda, the drinks the SUSENAS item names. SR Legacy carries the full panel, so one table supplies every nutrient; bdd stays 100 (fully consumed).</t>
  </si>
  <si>
    <t>Mean of three SR Legacy drinks per 100 g (1.0, 9.0, 0.0): sweetened bottled tea, regular cola and lemon-lime soda, the drinks the SUSENAS item names. SR Legacy carries the full panel, so one table supplies every nutrient; bdd stays 100 (fully consumed).</t>
  </si>
  <si>
    <t>Mean of three SR Legacy drinks per 100 g (14.0, 5.0, 1.0): sweetened bottled tea, regular cola and lemon-lime soda, the drinks the SUSENAS item names. SR Legacy carries the full panel, so one table supplies every nutrient; bdd stays 100 (fully consumed).</t>
  </si>
  <si>
    <t>Mean of three SR Legacy drinks per 100 g (3.0, 3.0, 10.0): sweetened bottled tea, regular cola and lemon-lime soda, the drinks the SUSENAS item names. SR Legacy carries the full panel, so one table supplies every nutrient; bdd stays 100 (fully consumed).</t>
  </si>
  <si>
    <t>Mean of three SR Legacy drinks per 100 g (0.01, 0.09, 0.01): sweetened bottled tea, regular cola and lemon-lime soda, the drinks the SUSENAS item names. SR Legacy carries the full panel, so one table supplies every nutrient; bdd stays 100 (fully consumed).</t>
  </si>
  <si>
    <t>AAQ15; AAQ16; AAQ33; AAQ43; AAQ47</t>
  </si>
  <si>
    <t>FDC 171947; FDC 174108</t>
  </si>
  <si>
    <t>Beverages, fruit juice drink, greater than 3% juice, high vitamin C; Beverages, Energy drink, Citrus</t>
  </si>
  <si>
    <t>mean of 2 entries</t>
  </si>
  <si>
    <t>https://fdc.nal.usda.gov/food-details/171947/nutrients</t>
  </si>
  <si>
    <t>https://fdc.nal.usda.gov/food-details/174108/nutrients</t>
  </si>
  <si>
    <t>ASEAN FCD prints no value for the pooled codes</t>
  </si>
  <si>
    <t>the item covers packaged fruit drinks, health drinks and energy drinks; mean of a fruit juice drink and an energy drink (beta_carotene: 0 and 0 mcg)</t>
  </si>
  <si>
    <t>the item covers packaged fruit drinks, health drinks and energy drinks; mean of a fruit juice drink and an energy drink (copper: 0.013 and 0 mg)</t>
  </si>
  <si>
    <t>AAJ18; AAJ19; AAJ33; AAJ46; AAQ55; AAQ9</t>
  </si>
  <si>
    <t>FDC 170879; FDC 171880</t>
  </si>
  <si>
    <t>Milk, chocolate, fluid, commercial, whole, with added vitamin A and vitamin D; Beverages, coffee, ready to drink, milk based, sweetened</t>
  </si>
  <si>
    <t>https://fdc.nal.usda.gov/food-details/170879/nutrients</t>
  </si>
  <si>
    <t>https://fdc.nal.usda.gov/food-details/171880/nutrients</t>
  </si>
  <si>
    <t>the item covers ready-made coffee, milk coffee, tea and chocolate milk drinks; mean of a chocolate milk and a milk-based coffee drink (copper: 0.065 and 0.002 mg)</t>
  </si>
  <si>
    <t>the item covers ready-made coffee, milk coffee, tea and chocolate milk drinks; mean of a chocolate milk and a milk-based coffee drink (zinc: 0.41 and 0.26 mg)</t>
  </si>
  <si>
    <t>DP053</t>
  </si>
  <si>
    <t>TKPI 2020 raw ingredients, share-weighted (sheet Recipes)</t>
  </si>
  <si>
    <t>DR166; DR044; DR013; BR013; DR142; DR018; DR147; NR023; NR024</t>
  </si>
  <si>
    <t>sheet Recipes, RECIPE VALUE row of item 87, cell H11</t>
  </si>
  <si>
    <t>sum(share/100 x ingredient value)</t>
  </si>
  <si>
    <t>cell replaced: the item is rebuilt from a recipe (raw packet, not cooked soup)</t>
  </si>
  <si>
    <t>raw vegetable packet rebuilt from TKPI raw vegetables (sheet Recipes); the previous row was TKPI DP053 sayur sop, a cooked soup; replaces the current value 27</t>
  </si>
  <si>
    <t>sheet Recipes, RECIPE VALUE row of item 87, cell I11</t>
  </si>
  <si>
    <t>raw vegetable packet rebuilt from TKPI raw vegetables (sheet Recipes); the previous row was TKPI DP053 sayur sop, a cooked soup; replaces the current value 1.3</t>
  </si>
  <si>
    <t>sheet Recipes, RECIPE VALUE row of item 87, cell J11</t>
  </si>
  <si>
    <t>raw vegetable packet rebuilt from TKPI raw vegetables (sheet Recipes); the previous row was TKPI DP053 sayur sop, a cooked soup; replaces the current value 2</t>
  </si>
  <si>
    <t>sheet Recipes, RECIPE VALUE row of item 87, cell K11</t>
  </si>
  <si>
    <t>raw vegetable packet rebuilt from TKPI raw vegetables (sheet Recipes); the previous row was TKPI DP053 sayur sop, a cooked soup; replaces the current value 1</t>
  </si>
  <si>
    <t>sheet Recipes, RECIPE VALUE row of item 87, cell L11</t>
  </si>
  <si>
    <t>raw vegetable packet rebuilt from TKPI raw vegetables (sheet Recipes); the previous row was TKPI DP053 sayur sop, a cooked soup; replaces the current value 0.3</t>
  </si>
  <si>
    <t>sheet Recipes, RECIPE VALUE row of item 87, cell M11</t>
  </si>
  <si>
    <t>raw vegetable packet rebuilt from TKPI raw vegetables (sheet Recipes); the previous row was TKPI DP053 sayur sop, a cooked soup; replaces the current value 2.7</t>
  </si>
  <si>
    <t>sheet Recipes, RECIPE VALUE row of item 87, cell N11</t>
  </si>
  <si>
    <t>raw vegetable packet rebuilt from TKPI raw vegetables (sheet Recipes); the previous row was TKPI DP053 sayur sop, a cooked soup; replaces the current value 20; every ingredient is a plant food, so retinol is 0 by biology</t>
  </si>
  <si>
    <t>sheet Recipes, RECIPE VALUE row of item 87, cell O11</t>
  </si>
  <si>
    <t>raw vegetable packet rebuilt from TKPI raw vegetables (sheet Recipes); the previous row was TKPI DP053 sayur sop, a cooked soup</t>
  </si>
  <si>
    <t>sheet Recipes, RECIPE VALUE row of item 87, cell P11</t>
  </si>
  <si>
    <t>raw vegetable packet rebuilt from TKPI raw vegetables (sheet Recipes); the previous row was TKPI DP053 sayur sop, a cooked soup; replaces the current value 0.1</t>
  </si>
  <si>
    <t>sheet Recipes, RECIPE VALUE row of item 87, cell Q11</t>
  </si>
  <si>
    <t>sheet Recipes, RECIPE VALUE row of item 87, cell R11</t>
  </si>
  <si>
    <t>sheet Recipes, RECIPE VALUE row of item 87, cell S11</t>
  </si>
  <si>
    <t>raw vegetable packet rebuilt from TKPI raw vegetables (sheet Recipes); the previous row was TKPI DP053 sayur sop, a cooked soup; replaces the current value 0</t>
  </si>
  <si>
    <t>sheet Recipes, RECIPE VALUE row of item 87, cell T11</t>
  </si>
  <si>
    <t>raw vegetable packet rebuilt from TKPI raw vegetables (sheet Recipes); the previous row was TKPI DP053 sayur sop, a cooked soup; replaces the current value 168</t>
  </si>
  <si>
    <t>sheet Recipes, RECIPE VALUE row of item 87, cell U11</t>
  </si>
  <si>
    <t>sheet Recipes, RECIPE VALUE row of item 87, cell V11</t>
  </si>
  <si>
    <t>raw vegetable packet rebuilt from TKPI raw vegetables (sheet Recipes); the previous row was TKPI DP053 sayur sop, a cooked soup; replaces the current value 1.8</t>
  </si>
  <si>
    <t>sheet Recipes, RECIPE VALUE row of item 87, cell W11</t>
  </si>
  <si>
    <t>raw vegetable packet rebuilt from TKPI raw vegetables (sheet Recipes); the previous row was TKPI DP053 sayur sop, a cooked soup; replaces the current value 57</t>
  </si>
  <si>
    <t>sheet Recipes, RECIPE VALUE row of item 87, cell X11</t>
  </si>
  <si>
    <t>sheet Recipes, RECIPE VALUE row of item 87, cell Y11</t>
  </si>
  <si>
    <t>sheet Recipes, RECIPE VALUE row of item 87, cell Z11</t>
  </si>
  <si>
    <t>sheet Recipes, RECIPE VALUE row of item 87, cell AA11</t>
  </si>
  <si>
    <t>raw vegetable packet rebuilt from TKPI raw vegetables (sheet Recipes); the previous row was TKPI DP053 sayur sop, a cooked soup; replaces the current value 100 bdd = share-weighted edible portion of the ingredients (TKPI BDD).</t>
  </si>
  <si>
    <t>DP047</t>
  </si>
  <si>
    <t>DR097; DR123; DR085; DR154; DR130; CR032; KP004; NR007; NR008; NR005; NR014; NR019; NR010; NR020; NR017</t>
  </si>
  <si>
    <t>sheet Recipes, RECIPE VALUE row of item 88, cell H27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</si>
  <si>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29</t>
  </si>
  <si>
    <t>sheet Recipes, RECIPE VALUE row of item 88, cell I27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</si>
  <si>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0.7</t>
  </si>
  <si>
    <t>sheet Recipes, RECIPE VALUE row of item 88, cell J27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</si>
  <si>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0.6</t>
  </si>
  <si>
    <t>sheet Recipes, RECIPE VALUE row of item 88, cell K27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</si>
  <si>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5</t>
  </si>
  <si>
    <t>sheet Recipes, RECIPE VALUE row of item 88, cell L27</t>
  </si>
  <si>
    <t>sheet Recipes, RECIPE VALUE row of item 88, cell M27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</si>
  <si>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0.8</t>
  </si>
  <si>
    <t>sheet Recipes, RECIPE VALUE row of item 88, cell N27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</si>
  <si>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14; every ingredient is a plant food, so retinol is 0 by biology; every ingredient is a plant food, so retinol is 0 by biology</t>
  </si>
  <si>
    <t>sheet Recipes, RECIPE VALUE row of item 88, cell O27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</si>
  <si>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t>
  </si>
  <si>
    <t>sheet Recipes, RECIPE VALUE row of item 88, cell P27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</si>
  <si>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0.1</t>
  </si>
  <si>
    <t>sheet Recipes, RECIPE VALUE row of item 88, cell Q27</t>
  </si>
  <si>
    <t>sheet Recipes, RECIPE VALUE row of item 88, cell R27</t>
  </si>
  <si>
    <t>sheet Recipes, RECIPE VALUE row of item 88, cell S27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</si>
  <si>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0</t>
  </si>
  <si>
    <t>sheet Recipes, RECIPE VALUE row of item 88, cell T27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</si>
  <si>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40</t>
  </si>
  <si>
    <t>sheet Recipes, RECIPE VALUE row of item 88, cell U27</t>
  </si>
  <si>
    <t>sheet Recipes, RECIPE VALUE row of item 88, cell V27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</si>
  <si>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3.1</t>
  </si>
  <si>
    <t>sheet Recipes, RECIPE VALUE row of item 88, cell W27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</si>
  <si>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61</t>
  </si>
  <si>
    <t>sheet Recipes, RECIPE VALUE row of item 88, cell X27</t>
  </si>
  <si>
    <t>sheet Recipes, RECIPE VALUE row of item 88, cell Y27</t>
  </si>
  <si>
    <t>sheet Recipes, RECIPE VALUE row of item 88, cell Z27</t>
  </si>
  <si>
    <t>sheet Recipes, RECIPE VALUE row of item 88, cell AA27</t>
  </si>
  <si>
    <t>raw vegetable packet with its seasoning bundle, rebuilt from TKPI raw ingredients (sheet Recipes): long beans, chayote, baby corn, aubergine, young jackfruit, peanuts, santan murni, shallot, garlic, asam masak, red chilli, candlenut, galangal, coriander, daun salam; the previous row was TKPI DP047 sayur asem, a cooked soup; replaces the current value 100 bdd = share-weighted edible portion of the ingredients (TKPI BDD).</t>
  </si>
  <si>
    <t>TKPI 2020 raw ingredients (with table salt), share-weighted (sheet Recipes)</t>
  </si>
  <si>
    <t>NR014; DR161; MP007; KR012; NR008; NR007; USDA 746775</t>
  </si>
  <si>
    <t>sheet Recipes, RECIPE VALUE row of item 142, cell H35</t>
  </si>
  <si>
    <t>Bottled chilli sauce rebuilt from TKPI raw ingredients and salt. Shares reviewed and accepted.</t>
  </si>
  <si>
    <t>sheet Recipes, RECIPE VALUE row of item 142, cell I35</t>
  </si>
  <si>
    <t>sheet Recipes, RECIPE VALUE row of item 142, cell J35</t>
  </si>
  <si>
    <t>sheet Recipes, RECIPE VALUE row of item 142, cell K35</t>
  </si>
  <si>
    <t>sheet Recipes, RECIPE VALUE row of item 142, cell L35</t>
  </si>
  <si>
    <t>sheet Recipes, RECIPE VALUE row of item 142, cell M35</t>
  </si>
  <si>
    <t>sheet Recipes, RECIPE VALUE row of item 142, cell N35</t>
  </si>
  <si>
    <t>sheet Recipes, RECIPE VALUE row of item 142, cell O35</t>
  </si>
  <si>
    <t>sheet Recipes, RECIPE VALUE row of item 142, cell P35</t>
  </si>
  <si>
    <t>sheet Recipes, RECIPE VALUE row of item 142, cell Q35</t>
  </si>
  <si>
    <t>sheet Recipes, RECIPE VALUE row of item 142, cell R35</t>
  </si>
  <si>
    <t>sheet Recipes, RECIPE VALUE row of item 142, cell S35</t>
  </si>
  <si>
    <t>sheet Recipes, RECIPE VALUE row of item 142, cell T35</t>
  </si>
  <si>
    <t>sheet Recipes, RECIPE VALUE row of item 142, cell U35</t>
  </si>
  <si>
    <t>sheet Recipes, RECIPE VALUE row of item 142, cell V35</t>
  </si>
  <si>
    <t>sheet Recipes, RECIPE VALUE row of item 142, cell W35</t>
  </si>
  <si>
    <t>sheet Recipes, RECIPE VALUE row of item 142, cell X35</t>
  </si>
  <si>
    <t>sheet Recipes, RECIPE VALUE row of item 142, cell Y35</t>
  </si>
  <si>
    <t>sheet Recipes, RECIPE VALUE row of item 142, cell Z35</t>
  </si>
  <si>
    <t>sheet Recipes, RECIPE VALUE row of item 142, cell AA35</t>
  </si>
  <si>
    <t>Bottled chilli sauce rebuilt from TKPI raw ingredients and salt. Shares reviewed and accepted. bdd = share-weighted edible portion of the ingredients (TKPI BDD).</t>
  </si>
  <si>
    <t>usda:2032322; usda:2032236; usda:2032401; usda:2032198; usda:2032292</t>
  </si>
  <si>
    <t>NR007; NR008; NR014; NR015; NR019; NR020; NR023; NR018; NR010; MP006; KR012</t>
  </si>
  <si>
    <t>sheet Recipes, RECIPE VALUE row of item 144, cell H47</t>
  </si>
  <si>
    <t>cell replaced: the item is rebuilt from a recipe (raw spices, not label panels)</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</si>
  <si>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replaces the current value 250.34000000000003</t>
  </si>
  <si>
    <t>sheet Recipes, RECIPE VALUE row of item 144, cell I47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</si>
  <si>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replaces the current value 9.36</t>
  </si>
  <si>
    <t>sheet Recipes, RECIPE VALUE row of item 144, cell J47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</si>
  <si>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replaces the current value 11.44</t>
  </si>
  <si>
    <t>sheet Recipes, RECIPE VALUE row of item 144, cell K47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</si>
  <si>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replaces the current value 28.56</t>
  </si>
  <si>
    <t>sheet Recipes, RECIPE VALUE row of item 144, cell L47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</si>
  <si>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replaces the current value 8.88</t>
  </si>
  <si>
    <t>sheet Recipes, RECIPE VALUE row of item 144, cell M47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</si>
  <si>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t>
  </si>
  <si>
    <t>sheet Recipes, RECIPE VALUE row of item 144, cell N47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</si>
  <si>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every ingredient is a plant food, so retinol is 0 by biology</t>
  </si>
  <si>
    <t>sheet Recipes, RECIPE VALUE row of item 144, cell O47</t>
  </si>
  <si>
    <t>sheet Recipes, RECIPE VALUE row of item 144, cell P47</t>
  </si>
  <si>
    <t>sheet Recipes, RECIPE VALUE row of item 144, cell Q47</t>
  </si>
  <si>
    <t>sheet Recipes, RECIPE VALUE row of item 144, cell R47</t>
  </si>
  <si>
    <t>sheet Recipes, RECIPE VALUE row of item 144, cell S47</t>
  </si>
  <si>
    <t>sheet Recipes, RECIPE VALUE row of item 144, cell T47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</si>
  <si>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replaces the current value 47.06</t>
  </si>
  <si>
    <t>sheet Recipes, RECIPE VALUE row of item 144, cell U47</t>
  </si>
  <si>
    <t>sheet Recipes, RECIPE VALUE row of item 144, cell V47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</si>
  <si>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replaces the current value 3.634</t>
  </si>
  <si>
    <t>sheet Recipes, RECIPE VALUE row of item 144, cell W47</t>
  </si>
  <si>
    <t>sheet Recipes, RECIPE VALUE row of item 144, cell X47</t>
  </si>
  <si>
    <t>sheet Recipes, RECIPE VALUE row of item 144, cell Y47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</si>
  <si>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replaces the current value 5515.860000000001</t>
  </si>
  <si>
    <t>sheet Recipes, RECIPE VALUE row of item 144, cell Z47</t>
  </si>
  <si>
    <t>sheet Recipes, RECIPE VALUE row of item 144, cell AA47</t>
  </si>
  <si>
    <t>packaged bumbu rebuilt as a recipe of TKPI raw spices (sheet Recipes): shallot, garlic, fresh and dried red chilli, candlenut, coriander, pepper, ginger, galangal, palm sugar, palm oil; all ingredients have complete panels; replaces the five USDA Branded label products, whose panels left 11 nutrients blank; replaces the current value 100 bdd = share-weighted edible portion of the ingredients (TKPI BDD).</t>
  </si>
  <si>
    <t>TKPI 2020 raw ingredients (with water), share-weighted (sheet Recipes)</t>
  </si>
  <si>
    <t>CR014; KP004; MP006; MP007; NR018; water</t>
  </si>
  <si>
    <t>sheet Recipes, RECIPE VALUE row of item 157, cell H54</t>
  </si>
  <si>
    <t>sweet mung-bean porridge as served. Shares reviewed and accepted.</t>
  </si>
  <si>
    <t>sheet Recipes, RECIPE VALUE row of item 157, cell I54</t>
  </si>
  <si>
    <t>sheet Recipes, RECIPE VALUE row of item 157, cell J54</t>
  </si>
  <si>
    <t>sheet Recipes, RECIPE VALUE row of item 157, cell K54</t>
  </si>
  <si>
    <t>sheet Recipes, RECIPE VALUE row of item 157, cell L54</t>
  </si>
  <si>
    <t>sheet Recipes, RECIPE VALUE row of item 157, cell M54</t>
  </si>
  <si>
    <t>sheet Recipes, RECIPE VALUE row of item 157, cell N54</t>
  </si>
  <si>
    <t>sheet Recipes, RECIPE VALUE row of item 157, cell O54</t>
  </si>
  <si>
    <t>sheet Recipes, RECIPE VALUE row of item 157, cell P54</t>
  </si>
  <si>
    <t>sheet Recipes, RECIPE VALUE row of item 157, cell Q54</t>
  </si>
  <si>
    <t>sheet Recipes, RECIPE VALUE row of item 157, cell R54</t>
  </si>
  <si>
    <t>sheet Recipes, RECIPE VALUE row of item 157, cell S54</t>
  </si>
  <si>
    <t>sheet Recipes, RECIPE VALUE row of item 157, cell T54</t>
  </si>
  <si>
    <t>sheet Recipes, RECIPE VALUE row of item 157, cell U54</t>
  </si>
  <si>
    <t>sheet Recipes, RECIPE VALUE row of item 157, cell V54</t>
  </si>
  <si>
    <t>sheet Recipes, RECIPE VALUE row of item 157, cell W54</t>
  </si>
  <si>
    <t>sheet Recipes, RECIPE VALUE row of item 157, cell X54</t>
  </si>
  <si>
    <t>sheet Recipes, RECIPE VALUE row of item 157, cell Y54</t>
  </si>
  <si>
    <t>sheet Recipes, RECIPE VALUE row of item 157, cell Z54</t>
  </si>
  <si>
    <t>sheet Recipes, RECIPE VALUE row of item 157, cell AA54</t>
  </si>
  <si>
    <t>sweet mung-bean porridge as served., shares are edible weights. Shares reviewed and accepted. bdd = share-weighted edible portion of the ingredients (TKPI BDD).</t>
  </si>
  <si>
    <t>tkpi:AP060; tkpi:DP031</t>
  </si>
  <si>
    <t>AP001; CP061; CP077; DR148; DR100; DR044; DR097; DR109; HR002; CR030; MP006; NR008; NR014; USDA 746775</t>
  </si>
  <si>
    <t>sheet Recipes, RECIPE VALUE row of item 158, cell H69</t>
  </si>
  <si>
    <t>cell replaced: the item is built from a recipe so that all 21 nutrients come from one construction</t>
  </si>
  <si>
    <t>Built from the recipe in sheet Recipes (ingredients, shares and sources there). Shares reviewed and accepted.</t>
  </si>
  <si>
    <t>sheet Recipes, RECIPE VALUE row of item 158, cell I69</t>
  </si>
  <si>
    <t>sheet Recipes, RECIPE VALUE row of item 158, cell J69</t>
  </si>
  <si>
    <t>sheet Recipes, RECIPE VALUE row of item 158, cell K69</t>
  </si>
  <si>
    <t>sheet Recipes, RECIPE VALUE row of item 158, cell L69</t>
  </si>
  <si>
    <t>sheet Recipes, RECIPE VALUE row of item 158, cell M69</t>
  </si>
  <si>
    <t>sheet Recipes, RECIPE VALUE row of item 158, cell N69</t>
  </si>
  <si>
    <t>sheet Recipes, RECIPE VALUE row of item 158, cell O69</t>
  </si>
  <si>
    <t>dish recipe from TKPI raw ingredients and cooked rice (sheet Recipes); only the seven blank nutrients are filled, the other values stay from TKPI AP060 ketoprak and DP031 gado-gado</t>
  </si>
  <si>
    <t>sheet Recipes, RECIPE VALUE row of item 158, cell P69</t>
  </si>
  <si>
    <t>sheet Recipes, RECIPE VALUE row of item 158, cell Q69</t>
  </si>
  <si>
    <t>sheet Recipes, RECIPE VALUE row of item 158, cell R69</t>
  </si>
  <si>
    <t>sheet Recipes, RECIPE VALUE row of item 158, cell S69</t>
  </si>
  <si>
    <t>sheet Recipes, RECIPE VALUE row of item 158, cell T69</t>
  </si>
  <si>
    <t>sheet Recipes, RECIPE VALUE row of item 158, cell U69</t>
  </si>
  <si>
    <t>sheet Recipes, RECIPE VALUE row of item 158, cell V69</t>
  </si>
  <si>
    <t>sheet Recipes, RECIPE VALUE row of item 158, cell W69</t>
  </si>
  <si>
    <t>sheet Recipes, RECIPE VALUE row of item 158, cell X69</t>
  </si>
  <si>
    <t>sheet Recipes, RECIPE VALUE row of item 158, cell Y69</t>
  </si>
  <si>
    <t>sheet Recipes, RECIPE VALUE row of item 158, cell Z69</t>
  </si>
  <si>
    <t>sheet Recipes, RECIPE VALUE row of item 158, cell AA69</t>
  </si>
  <si>
    <t>Built from the recipe in sheet Recipes (ingredients, shares and sources there). Shares reviewed and accepted. bdd = share-weighted edible portion of the ingredients (TKPI BDD).</t>
  </si>
  <si>
    <t>AP001; HR002; KR012; NR007; NR008; NR014; DR044; DR161; MP006; USDA 746775</t>
  </si>
  <si>
    <t>sheet Recipes, RECIPE VALUE row of item 160, cell H80</t>
  </si>
  <si>
    <t>home-style fried rice as served; shares are edible weights summing to 100. Shares reviewed and accepted.</t>
  </si>
  <si>
    <t>sheet Recipes, RECIPE VALUE row of item 160, cell I80</t>
  </si>
  <si>
    <t>sheet Recipes, RECIPE VALUE row of item 160, cell J80</t>
  </si>
  <si>
    <t>sheet Recipes, RECIPE VALUE row of item 160, cell K80</t>
  </si>
  <si>
    <t>sheet Recipes, RECIPE VALUE row of item 160, cell L80</t>
  </si>
  <si>
    <t>sheet Recipes, RECIPE VALUE row of item 160, cell M80</t>
  </si>
  <si>
    <t>sheet Recipes, RECIPE VALUE row of item 160, cell N80</t>
  </si>
  <si>
    <t>sheet Recipes, RECIPE VALUE row of item 160, cell O80</t>
  </si>
  <si>
    <t>sheet Recipes, RECIPE VALUE row of item 160, cell P80</t>
  </si>
  <si>
    <t>sheet Recipes, RECIPE VALUE row of item 160, cell Q80</t>
  </si>
  <si>
    <t>sheet Recipes, RECIPE VALUE row of item 160, cell R80</t>
  </si>
  <si>
    <t>sheet Recipes, RECIPE VALUE row of item 160, cell S80</t>
  </si>
  <si>
    <t>sheet Recipes, RECIPE VALUE row of item 160, cell T80</t>
  </si>
  <si>
    <t>sheet Recipes, RECIPE VALUE row of item 160, cell U80</t>
  </si>
  <si>
    <t>sheet Recipes, RECIPE VALUE row of item 160, cell V80</t>
  </si>
  <si>
    <t>sheet Recipes, RECIPE VALUE row of item 160, cell W80</t>
  </si>
  <si>
    <t>sheet Recipes, RECIPE VALUE row of item 160, cell X80</t>
  </si>
  <si>
    <t>sheet Recipes, RECIPE VALUE row of item 160, cell Y80</t>
  </si>
  <si>
    <t>sheet Recipes, RECIPE VALUE row of item 160, cell Z80</t>
  </si>
  <si>
    <t>sheet Recipes, RECIPE VALUE row of item 160, cell AA80</t>
  </si>
  <si>
    <t>home-style fried rice as served; shares are edible weights summing to 100., shares are edible weights. Shares reviewed and accepted. bdd = share-weighted edible portion of the ingredients (TKPI BDD).</t>
  </si>
  <si>
    <t>TKPI 2020 raw ingredients (with water, table salt), share-weighted (sheet Recipes)</t>
  </si>
  <si>
    <t>AP001; KP004; water; HR002; DR123; DR097; DR130; KR012; NR007; NR008; NR014; NR019; NR022; USDA 746775</t>
  </si>
  <si>
    <t>sheet Recipes, RECIPE VALUE row of item 162, cell H95</t>
  </si>
  <si>
    <t>cell replaced: rebuilt entirely from TKPI raw ingredients so that no ingredient with an incomplete panel enters (hidden zeros removed)</t>
  </si>
  <si>
    <t>Lontong sayur as served: rice cake in coconut vegetable gravy with egg. Shares reviewed and accepted.</t>
  </si>
  <si>
    <t>sheet Recipes, RECIPE VALUE row of item 162, cell I95</t>
  </si>
  <si>
    <t>sheet Recipes, RECIPE VALUE row of item 162, cell J95</t>
  </si>
  <si>
    <t>sheet Recipes, RECIPE VALUE row of item 162, cell K95</t>
  </si>
  <si>
    <t>sheet Recipes, RECIPE VALUE row of item 162, cell L95</t>
  </si>
  <si>
    <t>sheet Recipes, RECIPE VALUE row of item 162, cell M95</t>
  </si>
  <si>
    <t>sheet Recipes, RECIPE VALUE row of item 162, cell N95</t>
  </si>
  <si>
    <t>sheet Recipes, RECIPE VALUE row of item 162, cell O95</t>
  </si>
  <si>
    <t>sheet Recipes, RECIPE VALUE row of item 162, cell P95</t>
  </si>
  <si>
    <t>sheet Recipes, RECIPE VALUE row of item 162, cell Q95</t>
  </si>
  <si>
    <t>sheet Recipes, RECIPE VALUE row of item 162, cell R95</t>
  </si>
  <si>
    <t>sheet Recipes, RECIPE VALUE row of item 162, cell S95</t>
  </si>
  <si>
    <t>sheet Recipes, RECIPE VALUE row of item 162, cell T95</t>
  </si>
  <si>
    <t>sheet Recipes, RECIPE VALUE row of item 162, cell U95</t>
  </si>
  <si>
    <t>sheet Recipes, RECIPE VALUE row of item 162, cell V95</t>
  </si>
  <si>
    <t>sheet Recipes, RECIPE VALUE row of item 162, cell W95</t>
  </si>
  <si>
    <t>sheet Recipes, RECIPE VALUE row of item 162, cell X95</t>
  </si>
  <si>
    <t>sheet Recipes, RECIPE VALUE row of item 162, cell Y95</t>
  </si>
  <si>
    <t>sheet Recipes, RECIPE VALUE row of item 162, cell Z95</t>
  </si>
  <si>
    <t>sheet Recipes, RECIPE VALUE row of item 162, cell AA95</t>
  </si>
  <si>
    <t>Lontong sayur as served: rice cake in coconut vegetable gravy with egg. Shares reviewed and accepted. bdd = share-weighted edible portion of the ingredients (TKPI BDD).</t>
  </si>
  <si>
    <t>myfcd:222016; myfcd:222006; myfcd:236003; usda:746775; tkpi:FR019; tkpi:DR044; tkpi:DR161; tkpi:KP003; tkpi:NP005; tkpi:KR012; tkpi:MP006; tkpi:NR007; tkpi:NR008; tkpi:NR015; tkpi:NR018; tkpi:NR010</t>
  </si>
  <si>
    <t>FR005; FR019; FR026; CR030; NP005; MP006; NR007; NR008; NR014; USDA 746775; FR019; DR044; DR161; KP004; NP005; KR012; MP006; NR007; NR008; NR015; NR018; NR010; USDA 746775</t>
  </si>
  <si>
    <t>sheet Recipes, RECIPE VALUE row of item 165, cell H119</t>
  </si>
  <si>
    <t>Half satay (chicken, goat, beef with peanut-kecap sauce), half tongseng (goat stew); the three MyFCD satay entries (no copper, zinc) are replaced by TKPI meats and sauce ingredients. Shares reviewed and accepted.</t>
  </si>
  <si>
    <t>sheet Recipes, RECIPE VALUE row of item 165, cell I119</t>
  </si>
  <si>
    <t>sheet Recipes, RECIPE VALUE row of item 165, cell J119</t>
  </si>
  <si>
    <t>sheet Recipes, RECIPE VALUE row of item 165, cell K119</t>
  </si>
  <si>
    <t>sheet Recipes, RECIPE VALUE row of item 165, cell L119</t>
  </si>
  <si>
    <t>sheet Recipes, RECIPE VALUE row of item 165, cell M119</t>
  </si>
  <si>
    <t>sheet Recipes, RECIPE VALUE row of item 165, cell N119</t>
  </si>
  <si>
    <t>sheet Recipes, RECIPE VALUE row of item 165, cell O119</t>
  </si>
  <si>
    <t>sheet Recipes, RECIPE VALUE row of item 165, cell P119</t>
  </si>
  <si>
    <t>sheet Recipes, RECIPE VALUE row of item 165, cell Q119</t>
  </si>
  <si>
    <t>sheet Recipes, RECIPE VALUE row of item 165, cell R119</t>
  </si>
  <si>
    <t>sheet Recipes, RECIPE VALUE row of item 165, cell S119</t>
  </si>
  <si>
    <t>sheet Recipes, RECIPE VALUE row of item 165, cell T119</t>
  </si>
  <si>
    <t>sheet Recipes, RECIPE VALUE row of item 165, cell U119</t>
  </si>
  <si>
    <t>sheet Recipes, RECIPE VALUE row of item 165, cell V119</t>
  </si>
  <si>
    <t>sheet Recipes, RECIPE VALUE row of item 165, cell W119</t>
  </si>
  <si>
    <t>sheet Recipes, RECIPE VALUE row of item 165, cell X119</t>
  </si>
  <si>
    <t>sheet Recipes, RECIPE VALUE row of item 165, cell Y119</t>
  </si>
  <si>
    <t>sheet Recipes, RECIPE VALUE row of item 165, cell Z119</t>
  </si>
  <si>
    <t>sheet Recipes, RECIPE VALUE row of item 165, cell AA119</t>
  </si>
  <si>
    <t>Half satay (chicken, goat, beef with peanut-kecap sauce), half tongseng (goat stew); the three MyFCD satay entries (no copper, zinc) are replaced by TKPI meats and sauce ingredients. Shares reviewed and accepted. bdd = share-weighted edible portion of the ingredients (TKPI BDD).</t>
  </si>
  <si>
    <t>AP022; water; FR005; FR026; BP070; DR141; DR148; HR002; KR012; NP005; NP009; NR008; NR007; DR147; USDA 746775</t>
  </si>
  <si>
    <t>sheet Recipes, RECIPE VALUE row of item 166, cell H135</t>
  </si>
  <si>
    <t>Generic noodle bowl rebuilt from TKPI raw ingredients, water and salt; kecap (NP005) and saus tomat (NP009) included although TKPI leaves some of their cells blank (counted 0). Noodle carbohydrate kept as printed by TKPI (6.3 g) pending review. Shares reviewed and accepted.</t>
  </si>
  <si>
    <t>sheet Recipes, RECIPE VALUE row of item 166, cell I135</t>
  </si>
  <si>
    <t>sheet Recipes, RECIPE VALUE row of item 166, cell J135</t>
  </si>
  <si>
    <t>sheet Recipes, RECIPE VALUE row of item 166, cell K135</t>
  </si>
  <si>
    <t>sheet Recipes, RECIPE VALUE row of item 166, cell L135</t>
  </si>
  <si>
    <t>sheet Recipes, RECIPE VALUE row of item 166, cell M135</t>
  </si>
  <si>
    <t>sheet Recipes, RECIPE VALUE row of item 166, cell N135</t>
  </si>
  <si>
    <t>sheet Recipes, RECIPE VALUE row of item 166, cell O135</t>
  </si>
  <si>
    <t>sheet Recipes, RECIPE VALUE row of item 166, cell P135</t>
  </si>
  <si>
    <t>sheet Recipes, RECIPE VALUE row of item 166, cell Q135</t>
  </si>
  <si>
    <t>sheet Recipes, RECIPE VALUE row of item 166, cell R135</t>
  </si>
  <si>
    <t>sheet Recipes, RECIPE VALUE row of item 166, cell S135</t>
  </si>
  <si>
    <t>sheet Recipes, RECIPE VALUE row of item 166, cell T135</t>
  </si>
  <si>
    <t>sheet Recipes, RECIPE VALUE row of item 166, cell U135</t>
  </si>
  <si>
    <t>sheet Recipes, RECIPE VALUE row of item 166, cell V135</t>
  </si>
  <si>
    <t>sheet Recipes, RECIPE VALUE row of item 166, cell W135</t>
  </si>
  <si>
    <t>sheet Recipes, RECIPE VALUE row of item 166, cell X135</t>
  </si>
  <si>
    <t>sheet Recipes, RECIPE VALUE row of item 166, cell Y135</t>
  </si>
  <si>
    <t>sheet Recipes, RECIPE VALUE row of item 166, cell Z135</t>
  </si>
  <si>
    <t>sheet Recipes, RECIPE VALUE row of item 166, cell AA135</t>
  </si>
  <si>
    <t>Generic noodle bowl rebuilt from TKPI raw ingredients, water and salt; kecap (NP005) and saus tomat (NP009) included although TKPI leaves some of their cells blank (counted 0). Noodle carbohydrate kept as printed by TKPI (6.3 g) pending review. Shares reviewed and accepted. bdd = share-weighted edible portion of the ingredients (TKPI BDD).</t>
  </si>
  <si>
    <t>USDA SR Legacy dry noodle (with water), share-weighted (sheet Recipes)</t>
  </si>
  <si>
    <t>USDA 171177; water</t>
  </si>
  <si>
    <t>sheet Recipes, RECIPE VALUE row of item 167, cell H138</t>
  </si>
  <si>
    <t>Prepared instant noodle = 15 dry ramen (USDA SR Legacy 171177, full panel including ash) + 85 water; reproduces the FNDDS prepared soup (2709152) to within 1 percent on energy, protein, fat and sodium. Indonesian brand labels (Indomie, USDA Branded 2677255) carry too few nutrients to serve as the source.</t>
  </si>
  <si>
    <t>sheet Recipes, RECIPE VALUE row of item 167, cell I138</t>
  </si>
  <si>
    <t>sheet Recipes, RECIPE VALUE row of item 167, cell J138</t>
  </si>
  <si>
    <t>sheet Recipes, RECIPE VALUE row of item 167, cell K138</t>
  </si>
  <si>
    <t>sheet Recipes, RECIPE VALUE row of item 167, cell L138</t>
  </si>
  <si>
    <t>sheet Recipes, RECIPE VALUE row of item 167, cell M138</t>
  </si>
  <si>
    <t>sheet Recipes, RECIPE VALUE row of item 167, cell N138</t>
  </si>
  <si>
    <t>sheet Recipes, RECIPE VALUE row of item 167, cell O138</t>
  </si>
  <si>
    <t>sheet Recipes, RECIPE VALUE row of item 167, cell P138</t>
  </si>
  <si>
    <t>sheet Recipes, RECIPE VALUE row of item 167, cell Q138</t>
  </si>
  <si>
    <t>sheet Recipes, RECIPE VALUE row of item 167, cell R138</t>
  </si>
  <si>
    <t>sheet Recipes, RECIPE VALUE row of item 167, cell S138</t>
  </si>
  <si>
    <t>sheet Recipes, RECIPE VALUE row of item 167, cell T138</t>
  </si>
  <si>
    <t>sheet Recipes, RECIPE VALUE row of item 167, cell U138</t>
  </si>
  <si>
    <t>sheet Recipes, RECIPE VALUE row of item 167, cell V138</t>
  </si>
  <si>
    <t>sheet Recipes, RECIPE VALUE row of item 167, cell W138</t>
  </si>
  <si>
    <t>sheet Recipes, RECIPE VALUE row of item 167, cell X138</t>
  </si>
  <si>
    <t>sheet Recipes, RECIPE VALUE row of item 167, cell Y138</t>
  </si>
  <si>
    <t>sheet Recipes, RECIPE VALUE row of item 167, cell Z138</t>
  </si>
  <si>
    <t>sheet Recipes, RECIPE VALUE row of item 167, cell AA138</t>
  </si>
  <si>
    <t>usda:172112; tkpi:FP013; tkpi:FP015; tkpi:FP016; tkpi:FP017</t>
  </si>
  <si>
    <t>TKPI 2020 raw ingredients (with USDA entries), share-weighted (sheet Recipes)</t>
  </si>
  <si>
    <t>FP013; FP015; FP016; FP017; USDA 172112</t>
  </si>
  <si>
    <t>sheet Recipes, RECIPE VALUE row of item 171, cell H144</t>
  </si>
  <si>
    <t>sheet Recipes, RECIPE VALUE row of item 171, cell I144</t>
  </si>
  <si>
    <t>sheet Recipes, RECIPE VALUE row of item 171, cell J144</t>
  </si>
  <si>
    <t>sheet Recipes, RECIPE VALUE row of item 171, cell K144</t>
  </si>
  <si>
    <t>sheet Recipes, RECIPE VALUE row of item 171, cell L144</t>
  </si>
  <si>
    <t>sheet Recipes, RECIPE VALUE row of item 171, cell M144</t>
  </si>
  <si>
    <t>sheet Recipes, RECIPE VALUE row of item 171, cell N144</t>
  </si>
  <si>
    <t>sheet Recipes, RECIPE VALUE row of item 171, cell O144</t>
  </si>
  <si>
    <t>sheet Recipes, RECIPE VALUE row of item 171, cell P144</t>
  </si>
  <si>
    <t>sheet Recipes, RECIPE VALUE row of item 171, cell Q144</t>
  </si>
  <si>
    <t>sheet Recipes, RECIPE VALUE row of item 171, cell R144</t>
  </si>
  <si>
    <t>sheet Recipes, RECIPE VALUE row of item 171, cell S144</t>
  </si>
  <si>
    <t>sheet Recipes, RECIPE VALUE row of item 171, cell T144</t>
  </si>
  <si>
    <t>sheet Recipes, RECIPE VALUE row of item 171, cell U144</t>
  </si>
  <si>
    <t>sheet Recipes, RECIPE VALUE row of item 171, cell V144</t>
  </si>
  <si>
    <t>sheet Recipes, RECIPE VALUE row of item 171, cell W144</t>
  </si>
  <si>
    <t>sheet Recipes, RECIPE VALUE row of item 171, cell X144</t>
  </si>
  <si>
    <t>sheet Recipes, RECIPE VALUE row of item 171, cell Y144</t>
  </si>
  <si>
    <t>sheet Recipes, RECIPE VALUE row of item 171, cell Z144</t>
  </si>
  <si>
    <t>sheet Recipes, RECIPE VALUE row of item 171, cell AA144</t>
  </si>
  <si>
    <t>usda:746775; tkpi:AR001; tkpi:FR005; tkpi:KR012; tkpi:NP005; tkpi:BP045; tkpi:DR147; tkpi:NR018</t>
  </si>
  <si>
    <t>AR001; water; FR005; KR012; NP005; BP045; DR147; USDA 746775; NR018</t>
  </si>
  <si>
    <t>sheet Recipes, RECIPE VALUE row of item 172, cell H154</t>
  </si>
  <si>
    <t>sheet Recipes, RECIPE VALUE row of item 172, cell I154</t>
  </si>
  <si>
    <t>sheet Recipes, RECIPE VALUE row of item 172, cell J154</t>
  </si>
  <si>
    <t>floor: the item contains aquatic ingredients (kerupuk udang, 2 percent of the recipe) but its source reports no DHA or EPA</t>
  </si>
  <si>
    <t>Contains aquatic ingredients (kerupuk udang, 2 percent of the recipe) whose source (TKPI) reports no DHA or EPA, so 0 is a floor, not an estimate; borrowing a fish-book value for the aquatic share is an open decision.</t>
  </si>
  <si>
    <t>sheet Recipes, RECIPE VALUE row of item 172, cell K154</t>
  </si>
  <si>
    <t>sheet Recipes, RECIPE VALUE row of item 172, cell L154</t>
  </si>
  <si>
    <t>sheet Recipes, RECIPE VALUE row of item 172, cell M154</t>
  </si>
  <si>
    <t>sheet Recipes, RECIPE VALUE row of item 172, cell N154</t>
  </si>
  <si>
    <t>sheet Recipes, RECIPE VALUE row of item 172, cell O154</t>
  </si>
  <si>
    <t>sheet Recipes, RECIPE VALUE row of item 172, cell P154</t>
  </si>
  <si>
    <t>sheet Recipes, RECIPE VALUE row of item 172, cell Q154</t>
  </si>
  <si>
    <t>sheet Recipes, RECIPE VALUE row of item 172, cell R154</t>
  </si>
  <si>
    <t>sheet Recipes, RECIPE VALUE row of item 172, cell S154</t>
  </si>
  <si>
    <t>sheet Recipes, RECIPE VALUE row of item 172, cell T154</t>
  </si>
  <si>
    <t>sheet Recipes, RECIPE VALUE row of item 172, cell U154</t>
  </si>
  <si>
    <t>sheet Recipes, RECIPE VALUE row of item 172, cell V154</t>
  </si>
  <si>
    <t>sheet Recipes, RECIPE VALUE row of item 172, cell W154</t>
  </si>
  <si>
    <t>sheet Recipes, RECIPE VALUE row of item 172, cell X154</t>
  </si>
  <si>
    <t>sheet Recipes, RECIPE VALUE row of item 172, cell Y154</t>
  </si>
  <si>
    <t>sheet Recipes, RECIPE VALUE row of item 172, cell Z154</t>
  </si>
  <si>
    <t>sheet Recipes, RECIPE VALUE row of item 172, cell AA154</t>
  </si>
  <si>
    <t>TKPI 2020 raw ingredients (with water, table salt, fish book tenggiri), share-weighted (sheet Recipes)</t>
  </si>
  <si>
    <t>afcd:19; BP070; CP061; BR013; DR044; HR002; NR008; water; afcd:19; BP070; CP061; KR012; CR030; MP006; NR014; NR008; USDA 746775</t>
  </si>
  <si>
    <t>sheet Recipes, RECIPE VALUE row of item 173, cell H172</t>
  </si>
  <si>
    <t>Siomay (steamed) and batagor (fried) with peanut sauce; the fish share stays 22 (12 + 10), so dha_epa is unchanged. Shares reviewed and accepted.</t>
  </si>
  <si>
    <t>sheet Recipes, RECIPE VALUE row of item 173, cell I172</t>
  </si>
  <si>
    <t>sheet Recipes, RECIPE VALUE row of item 173, cell J172</t>
  </si>
  <si>
    <t>sheet Recipes, RECIPE VALUE row of item 173, cell K172</t>
  </si>
  <si>
    <t>sheet Recipes, RECIPE VALUE row of item 173, cell L172</t>
  </si>
  <si>
    <t>sheet Recipes, RECIPE VALUE row of item 173, cell M172</t>
  </si>
  <si>
    <t>sheet Recipes, RECIPE VALUE row of item 173, cell N172</t>
  </si>
  <si>
    <t>sheet Recipes, RECIPE VALUE row of item 173, cell O172</t>
  </si>
  <si>
    <t>sheet Recipes, RECIPE VALUE row of item 173, cell P172</t>
  </si>
  <si>
    <t>sheet Recipes, RECIPE VALUE row of item 173, cell Q172</t>
  </si>
  <si>
    <t>sheet Recipes, RECIPE VALUE row of item 173, cell R172</t>
  </si>
  <si>
    <t>sheet Recipes, RECIPE VALUE row of item 173, cell S172</t>
  </si>
  <si>
    <t>sheet Recipes, RECIPE VALUE row of item 173, cell T172</t>
  </si>
  <si>
    <t>sheet Recipes, RECIPE VALUE row of item 173, cell U172</t>
  </si>
  <si>
    <t>sheet Recipes, RECIPE VALUE row of item 173, cell V172</t>
  </si>
  <si>
    <t>sheet Recipes, RECIPE VALUE row of item 173, cell W172</t>
  </si>
  <si>
    <t>sheet Recipes, RECIPE VALUE row of item 173, cell X172</t>
  </si>
  <si>
    <t>sheet Recipes, RECIPE VALUE row of item 173, cell Y172</t>
  </si>
  <si>
    <t>sheet Recipes, RECIPE VALUE row of item 173, cell Z172</t>
  </si>
  <si>
    <t>sheet Recipes, RECIPE VALUE row of item 173, cell AA172</t>
  </si>
  <si>
    <t>Siomay (steamed) and batagor (fried) with peanut sauce; the fish share stays 22 (12 + 10), so dha_epa is unchanged. Shares reviewed and accepted. bdd = share-weighted edible portion of the ingredients (TKPI BDD).</t>
  </si>
  <si>
    <t>usda:498708; tkpi:KP003; tkpi:MP006; tkpi:ER071; tkpi:QR001; tkpi:ER046; tkpi:JP007; tkpi:MP014; tkpi:ER054; tkpi:ER070; tkpi:ER001; tkpi:CP009; tkpi:ER106</t>
  </si>
  <si>
    <t>water; QR001; ER046; JP007; MP014; ER054; ER070; ER071; ER001; CP009; JP007; ER046; QR001; ER106; ER071; ER001</t>
  </si>
  <si>
    <t>sheet Recipes, RECIPE VALUE row of item 181, cell H189</t>
  </si>
  <si>
    <t>sheet Recipes, RECIPE VALUE row of item 181, cell I189</t>
  </si>
  <si>
    <t>sheet Recipes, RECIPE VALUE row of item 181, cell J189</t>
  </si>
  <si>
    <t>sheet Recipes, RECIPE VALUE row of item 181, cell K189</t>
  </si>
  <si>
    <t>sheet Recipes, RECIPE VALUE row of item 181, cell L189</t>
  </si>
  <si>
    <t>sheet Recipes, RECIPE VALUE row of item 181, cell M189</t>
  </si>
  <si>
    <t>sheet Recipes, RECIPE VALUE row of item 181, cell N189</t>
  </si>
  <si>
    <t>sheet Recipes, RECIPE VALUE row of item 181, cell O189</t>
  </si>
  <si>
    <t>sheet Recipes, RECIPE VALUE row of item 181, cell P189</t>
  </si>
  <si>
    <t>sheet Recipes, RECIPE VALUE row of item 181, cell Q189</t>
  </si>
  <si>
    <t>sheet Recipes, RECIPE VALUE row of item 181, cell R189</t>
  </si>
  <si>
    <t>sheet Recipes, RECIPE VALUE row of item 181, cell S189</t>
  </si>
  <si>
    <t>sheet Recipes, RECIPE VALUE row of item 181, cell T189</t>
  </si>
  <si>
    <t>sheet Recipes, RECIPE VALUE row of item 181, cell U189</t>
  </si>
  <si>
    <t>sheet Recipes, RECIPE VALUE row of item 181, cell V189</t>
  </si>
  <si>
    <t>sheet Recipes, RECIPE VALUE row of item 181, cell W189</t>
  </si>
  <si>
    <t>sheet Recipes, RECIPE VALUE row of item 181, cell X189</t>
  </si>
  <si>
    <t>sheet Recipes, RECIPE VALUE row of item 181, cell Y189</t>
  </si>
  <si>
    <t>sheet Recipes, RECIPE VALUE row of item 181, cell Z189</t>
  </si>
  <si>
    <t>sheet Recipes, RECIPE VALUE row of item 181, cell AA189</t>
  </si>
  <si>
    <t>usda:168746; usda:173664</t>
  </si>
  <si>
    <t>USDA 168746; USDA 173664</t>
  </si>
  <si>
    <t>sheet Recipes, RECIPE VALUE row of item 182, cell H192</t>
  </si>
  <si>
    <t>sheet Recipes, RECIPE VALUE row of item 182, cell I192</t>
  </si>
  <si>
    <t>sheet Recipes, RECIPE VALUE row of item 182, cell J192</t>
  </si>
  <si>
    <t>sheet Recipes, RECIPE VALUE row of item 182, cell K192</t>
  </si>
  <si>
    <t>sheet Recipes, RECIPE VALUE row of item 182, cell L192</t>
  </si>
  <si>
    <t>sheet Recipes, RECIPE VALUE row of item 182, cell M192</t>
  </si>
  <si>
    <t>sheet Recipes, RECIPE VALUE row of item 182, cell N192</t>
  </si>
  <si>
    <t>sheet Recipes, RECIPE VALUE row of item 182, cell O192</t>
  </si>
  <si>
    <t>sheet Recipes, RECIPE VALUE row of item 182, cell P192</t>
  </si>
  <si>
    <t>sheet Recipes, RECIPE VALUE row of item 182, cell Q192</t>
  </si>
  <si>
    <t>sheet Recipes, RECIPE VALUE row of item 182, cell R192</t>
  </si>
  <si>
    <t>sheet Recipes, RECIPE VALUE row of item 182, cell S192</t>
  </si>
  <si>
    <t>sheet Recipes, RECIPE VALUE row of item 182, cell T192</t>
  </si>
  <si>
    <t>sheet Recipes, RECIPE VALUE row of item 182, cell U192</t>
  </si>
  <si>
    <t>sheet Recipes, RECIPE VALUE row of item 182, cell V192</t>
  </si>
  <si>
    <t>sheet Recipes, RECIPE VALUE row of item 182, cell W192</t>
  </si>
  <si>
    <t>sheet Recipes, RECIPE VALUE row of item 182, cell X192</t>
  </si>
  <si>
    <t>sheet Recipes, RECIPE VALUE row of item 182, cell Y192</t>
  </si>
  <si>
    <t>sheet Recipes, RECIPE VALUE row of item 182, cell Z192</t>
  </si>
  <si>
    <t>sheet Recipes, RECIPE VALUE row of item 182, cell AA192</t>
  </si>
  <si>
    <t>cell documented: bdd of a single-source item (unchanged, 100)</t>
  </si>
  <si>
    <t>USDA SR Legacy reports no edible-portion figure for this entry; the dry block is consumed whole, so bdd = 100 (TKPI gives BDD 100 for mi kering).</t>
  </si>
  <si>
    <t>AR001; AR002; AR003; AR004; AR009; AR010; AR011; AR012; AR013</t>
  </si>
  <si>
    <t>AR007; AR008</t>
  </si>
  <si>
    <t>AR015</t>
  </si>
  <si>
    <t>AP025</t>
  </si>
  <si>
    <t>AR014; AR019; AR020; AR021</t>
  </si>
  <si>
    <t>BR016</t>
  </si>
  <si>
    <t>BR028; BR029; BR030; BR031; BR032; BR033</t>
  </si>
  <si>
    <t>BR018; BR019; BR021</t>
  </si>
  <si>
    <t>BR004; BR006; BR023; BR024; BR025; BR026; BR027</t>
  </si>
  <si>
    <t>BR013; BR014</t>
  </si>
  <si>
    <t>BR001; BR002; BR003; BR005; BR007; BR008; BR009; BR010; BR011; BR012; BR015; BR017; BR020; BR022</t>
  </si>
  <si>
    <t>FR001; FR002; FR003; FR025; FR026</t>
  </si>
  <si>
    <t>FR016; FR017; FR019</t>
  </si>
  <si>
    <t>FR008; FR009</t>
  </si>
  <si>
    <t>FR005</t>
  </si>
  <si>
    <t>FR004; FR012; FR013; FR014; FR020; FR021; FR022; FR034</t>
  </si>
  <si>
    <t>FP004; FP005; FP006; FP008; FP010; FP011; FP012; FP014; FP018</t>
  </si>
  <si>
    <t>FR024</t>
  </si>
  <si>
    <t>FR006; FR007; FR010; FR011; FR018; FR023; FR027; FR028; FR029; FR030; FR031; FR032; FR033</t>
  </si>
  <si>
    <t>HR002</t>
  </si>
  <si>
    <t>HP002; HR009; HR010; HR011</t>
  </si>
  <si>
    <t>JR006</t>
  </si>
  <si>
    <t>JP007</t>
  </si>
  <si>
    <t>JP006</t>
  </si>
  <si>
    <t>JP005</t>
  </si>
  <si>
    <t>JP002; JP003; JP004; JP008; JP009; JP010; JP011; JR002; JR003; JR004; JR005</t>
  </si>
  <si>
    <t>DR008; DR009</t>
  </si>
  <si>
    <t>DR142</t>
  </si>
  <si>
    <t>DR042; DR129; DR141; DR143; DR144</t>
  </si>
  <si>
    <t>DR013</t>
  </si>
  <si>
    <t>DR097</t>
  </si>
  <si>
    <t>DR109; DR110; DR111</t>
  </si>
  <si>
    <t>DR071; DR072; DR073; DR074</t>
  </si>
  <si>
    <t>DR154; DR155; DR156; DR157; DR158; DR159</t>
  </si>
  <si>
    <t>DR002; DR148; DR149; DR150</t>
  </si>
  <si>
    <t>DR001; DR003; DR004; DR005; DR006; DR007; DR010; DR011; DR012; DR014; DR015; DR016; DR017; DR018; DR019; DR020; DR021; DR022; DR023; DR024; DR025; DR026; DR027; DR028; DR029; DR030; DR031; DR032; DR033; DR034; DR035; DR036; DR037; DR038; DR039; DR040; DR041; DR043; DR045; DR046; DR047; DR048; DR049; DR050; DR051; DR052; DR053; DR054; DR055; DR056; DR057; DR058; DR059; DR060; DR061; DR062; DR063; DR064; DR065; DR066; DR067; DR068; DR069; DR070; DR075; DR076; DR077; DR078; DR079; DR080; DR081; DR082; DR083; DR084; DR085; DR086; DR087; DR088; DR089; DR090; DR091; DR092; DR094; DR095; DR096; DR098; DR099; DR102; DR103; DR104; DR105; DR106; DR107; DR108; DR112; DR113; DR115; DR116; DR117; DR118; DR119; DR120; DR125; DR126; DR127; DR128; DR131; DR132; DR134; DR135; DR136; DR137; DR138; DR139; DR140; DR145; DR146; DR147; DR151; DR152; DR153; DR163; DR164; DR165</t>
  </si>
  <si>
    <t>CR031</t>
  </si>
  <si>
    <t>CR001; CR002; CR003; CR004; CR005; CR006; CR007; CR008; CR009; CR010; CR011; CR012; CR013; CR014; CR015; CR016; CR019; CR020; CR022; CR023; CR024; CR025; CR026; CR027; CR028; CR029; CR030; CR032; CR033; CR034; CR035; CR036; CR037; CR038; CR039; CR040; CR041; CR042; CR043; CR044; CR045; CR046; CR047; CR048; CR049; CR050; CR051; CR052</t>
  </si>
  <si>
    <t>CP070; CP071; CP072; CP073; CP074; CP075; CP076; CP077; CP078; CP079; CP080; CP081; CP082</t>
  </si>
  <si>
    <t>CP001; CP002; CP003; CP004; CP006; CP007; CP008; CP009; CP010; CP011; CP012; CP013; CP014; CP015; CP016; CP017; CP018; CP019; CP020; CP021; CP022; CP024; CP025; CP026; CP027; CP028; CP029; CP030; CP031; CP032; CP033; CP034; CP035; CP036; CP038; CP039; CP040; CP041; CP042; CP043; CP044; CP045; CP046; CP047; CP048; CP049; CP050; CP055; CP056; CP057; CP058; CP059; CP060; CP062; CP063; CP064; CP065; CP066; CP067; CP068; CP069; CP083; CP084; CP085; CP086</t>
  </si>
  <si>
    <t>ER054; ER055; ER056; ER057; ER058; ER059; ER060; ER061; ER062; ER063</t>
  </si>
  <si>
    <t>ER098; ER099; ER100; ER101</t>
  </si>
  <si>
    <t>ER075; ER076; ER077; ER078; ER079; ER080; ER081; ER082; ER083; ER084; ER085; ER086; ER087; ER088; ER089; ER090; ER091; ER092; ER093; ER094</t>
  </si>
  <si>
    <t>ER020; ER073</t>
  </si>
  <si>
    <t>ER001; ER002; ER005; ER006; ER007; ER008; ER009; ER010; ER011; ER012; ER013; ER014; ER015; ER016; ER017; ER018; ER019; ER021; ER024; ER025; ER026; ER027; ER028; ER029; ER030; ER031; ER032; ER033; ER034; ER042; ER043; ER044; ER045; ER046; ER047; ER048; ER050; ER052; ER053; ER064; ER065; ER066; ER067; ER068; ER069; ER070; ER071; ER072; ER095; ER102; ER103; ER104; ER106; ER107; ER108; ER109; ER110; ER111; ER112</t>
  </si>
  <si>
    <t>KR011</t>
  </si>
  <si>
    <t>KP003; KP004; KR001; KR002</t>
  </si>
  <si>
    <t>JR001; KP001; KP002; KR003; KR004; KR005; KR006; KR007; KR008; KR009; KR010; KR013; KR014</t>
  </si>
  <si>
    <t>floor: the item contains aquatic ingredients (fish oil codes (2 of 13)) but its source reports no DHA or EPA</t>
  </si>
  <si>
    <t>Contains aquatic ingredients (fish oil codes (2 of 13)) whose source (TKPI) reports no DHA or EPA, so 0 is a floor, not an estimate; borrowing a fish-book value for the aquatic share is an open decision.</t>
  </si>
  <si>
    <t>MP007</t>
  </si>
  <si>
    <t>MP005; MP006</t>
  </si>
  <si>
    <t>MP016; MP017; MP018</t>
  </si>
  <si>
    <t>MP001; MP002; MP003; MP004; MP008; MP010; MP011; MP012; MP013; MP014; MP015; QR001</t>
  </si>
  <si>
    <t>NP001; NP002; NP003; NP004; NP010; NR009; NR010; NR011; NR013; NR016; NR017; NR018; NR021; NR022; NR024</t>
  </si>
  <si>
    <t>BP040; BP041; BP042; BP043; BP044; BP045; FP007</t>
  </si>
  <si>
    <t>floor: the item contains aquatic ingredients (fish and shrimp crackers (3 of 7 codes)) but its source reports no DHA or EPA</t>
  </si>
  <si>
    <t>Contains aquatic ingredients (fish and shrimp crackers (3 of 7 codes)) whose source (TKPI) reports no DHA or EPA, so 0 is a floor, not an estimate; borrowing a fish-book value for the aquatic share is an open decision.</t>
  </si>
  <si>
    <t>AP004; AP006; AP007; AP008; AP011; AP013; AP019; AP020; AP021; AP023; AP106; BP064; BP065; BP067; BP068; BP069; BP070; BP071; BP072</t>
  </si>
  <si>
    <t>AP024</t>
  </si>
  <si>
    <t>AP029; AP030; AP033; AP039; AP047; AP068; AP070; AP093; AP112; BP013; BP014; BP015; BP016; BP017; BP018; BP046; BP058</t>
  </si>
  <si>
    <t>AP026; AP027; AP028; AP032; AP035; AP036; AP037; AP038; AP041; AP042; AP043; AP044; AP045; AP046; AP048; AP054; AP055; AP056; AP057; AP058; AP059; AP064; AP065; AP066; AP069; AP071; AP072; AP073; AP074; AP075; AP076; AP077; AP078; AP079; AP080; AP083; AP094; AP095; AP097; AP099; AP100; AP101; AP105; AP107; AP108; AP110; AP113; AP114; BP025; BP026; BP028; BP029; BP030; BP047; BP048; BP052; HP005; HP006</t>
  </si>
  <si>
    <t>AP031; AP049; AP050; AP053; AP096; AP102; DP017; DP038</t>
  </si>
  <si>
    <t>AP089; AP090; AP091; AP092; AP098</t>
  </si>
  <si>
    <t>AP001</t>
  </si>
  <si>
    <t>FP047; FP061; FP068; FP069; FP070; FP071; FP072; FP073; FP074; FP075; FP076; FP077; FP078; FP079; FP080; FP081; FP082; FP083; FP084; GP063; GP064; GP065; GP066; GP067</t>
  </si>
  <si>
    <t>floor: the item contains aquatic ingredients (gulai ikan (2 of 24 codes)) but its source reports no DHA or EPA</t>
  </si>
  <si>
    <t>Contains aquatic ingredients (gulai ikan (2 of 24 codes)) whose source (TKPI) reports no DHA or EPA, so 0 is a floor, not an estimate; borrowing a fish-book value for the aquatic share is an open decision.</t>
  </si>
  <si>
    <t>DP001; DP002; DP003; DP004; DP005; DP006; DP007; DP008; DP009; DP010; DP011; DP012; DP013; DP014; DP015; DP016; DP019; DP020; DP021; DP027; DP028; DP029; DP030; DP032; DP033; DP034; DP041; DP048; DP051; DP054; DP055; DP058; DP059; DP060; DP061</t>
  </si>
  <si>
    <t>BP034; BP035; BP036; BP037; BP038; BP039; EP004</t>
  </si>
  <si>
    <t>GP002; GP003; GP006; GP007; GP013; GP017; GP019; GP020; GP021; GP023; GP024; GP034; GP053; GP054; GP055; GP056; GP057; GP058; GP059; GP060; GP061; GP062; GP068; GP069; GP070; GP071; GP072; GP073; GP074; GP075; GP076; GP078; GP080; GP081; GP082; GP083; GP084; GP085; GP086; GP087; GP088; GP089; GP091; GP092; GP093; GP094; GP095</t>
  </si>
  <si>
    <t>floor: the item contains aquatic ingredients (cooked fish dishes (21 of 47 codes)) but its source reports no DHA or EPA</t>
  </si>
  <si>
    <t>Contains aquatic ingredients (cooked fish dishes (21 of 47 codes)) whose source (TKPI) reports no DHA or EPA, so 0 is a floor, not an estimate; borrowing a fish-book value for the aquatic share is an open decision.</t>
  </si>
  <si>
    <t>FP001; FP002; FP021; FP022; FP023; FP024; FP025; FP026; FP027; FP028; FP029; FP030; FP031; FP032; FP033; FP049; FP062</t>
  </si>
  <si>
    <t>AP002; AP003; AP005; AP009; AP010; AP012; AP014; AP015; AP016; AP017; AP018; AP034; AP040; AP051; AP061; AP062; AP063; AP067; AP081; AP082; AP109; AP111; BP001; BP002; BP003; BP004; BP005; BP006; BP007; BP008; BP009; BP010; BP011; BP012; BP019; BP020; BP021; BP022; BP023; BP024; BP027; BP031; BP032; BP033; BP049; BP053; BP054; BP055; BP056; BP057; BP059; BP060; BP061; BP062; BP063; BP073; BP074; BP075; BP076; CP023; DP018; DP022; DP023; DP024; DP025; DP026; DP035; DP036; DP037; DP039; DP040; DP042; DP043; DP044; DP045; DP046; DP049; DP050; DP052; DP056; DP057; EP001; EP002; EP003; EP005; EP006; EP007; EP008; EP009; EP010; EP011; EP012; EP013; EP014; EP015; FP003; FP009; FP019; FP020; FP034; FP035; FP036; FP037; FP038; FP039; FP040; FP041; FP042; FP043; FP044; FP045; FP046; FP048; FP050; FP051; FP052; FP053; FP054; FP055; FP056; FP057; FP058; FP059; FP060; FP063; FP066; FP067; FP085; FP086; FP087; FP088; FR015; GP077; GP079; HP001; HP003; HP007</t>
  </si>
  <si>
    <t>JP001</t>
  </si>
  <si>
    <t>scope</t>
  </si>
  <si>
    <t>ingredient_code</t>
  </si>
  <si>
    <t>ingredient</t>
  </si>
  <si>
    <t>share_pct</t>
  </si>
  <si>
    <t>whole item (all 21 nutrient columns)</t>
  </si>
  <si>
    <t>Wortel, segar</t>
  </si>
  <si>
    <t>carrot</t>
  </si>
  <si>
    <t>DR044</t>
  </si>
  <si>
    <t>Daun kubis, segar</t>
  </si>
  <si>
    <t>cabbage</t>
  </si>
  <si>
    <t>Buncis, segar</t>
  </si>
  <si>
    <t>green beans</t>
  </si>
  <si>
    <t>BR013</t>
  </si>
  <si>
    <t>Kentang, segar</t>
  </si>
  <si>
    <t>potato</t>
  </si>
  <si>
    <t>Sawi putih/ pecai, segar</t>
  </si>
  <si>
    <t>Chinese cabbage</t>
  </si>
  <si>
    <t>DR018</t>
  </si>
  <si>
    <t>Daun bawang merah, segar</t>
  </si>
  <si>
    <t>spring onion</t>
  </si>
  <si>
    <t>DR147</t>
  </si>
  <si>
    <t>Seledri, segar</t>
  </si>
  <si>
    <t>celery</t>
  </si>
  <si>
    <t>Merica, kering</t>
  </si>
  <si>
    <t>white pepper (TKPI prints no vitamin C: counted 0)</t>
  </si>
  <si>
    <t>NR024</t>
  </si>
  <si>
    <t>Pala, biji, kering</t>
  </si>
  <si>
    <t>nutmeg</t>
  </si>
  <si>
    <t>calculated</t>
  </si>
  <si>
    <t>RECIPE VALUE per 100 g</t>
  </si>
  <si>
    <t>recipe value per 100 g = SUMPRODUCT(share/100, ingredient value) over the rows of this item above; a blank ingredient cell counts as 0, so that nutrient is a minimum; all ingredients are plant foods, so the retinol total is 0 by biology; recipe value per 100 g = SUMPRODUCT(share/100, ingredient value) over the rows of this item above; a blank ingredient cell counts as 0; bdd = share-weighted edible portion of the ingredients (TKPI BDD; 100 for water and salt)</t>
  </si>
  <si>
    <t>Kacang panjang, segar</t>
  </si>
  <si>
    <t>long beans; packet = vegetables 82% + seasoning bundle 18%; shares are whole percentages summing to 100</t>
  </si>
  <si>
    <t>DR123</t>
  </si>
  <si>
    <t>Labu siam, segar</t>
  </si>
  <si>
    <t>chayote; packet = vegetables 82% + seasoning bundle 18%; shares are whole percentages summing to 100</t>
  </si>
  <si>
    <t>DR085</t>
  </si>
  <si>
    <t>Jagung muda/ semi, segar</t>
  </si>
  <si>
    <t>baby corn; packet = vegetables 82% + seasoning bundle 18%; shares are whole percentages summing to 100</t>
  </si>
  <si>
    <t>DR154</t>
  </si>
  <si>
    <t>Terong, segar</t>
  </si>
  <si>
    <t>aubergine; packet = vegetables 82% + seasoning bundle 18%; shares are whole percentages summing to 100</t>
  </si>
  <si>
    <t>Nangka muda, segar</t>
  </si>
  <si>
    <t>young jackfruit; packet = vegetables 82% + seasoning bundle 18%; shares are whole percentages summing to 100</t>
  </si>
  <si>
    <t>CR032</t>
  </si>
  <si>
    <t>Kacang tanah, kering</t>
  </si>
  <si>
    <t>peanuts, dried; packet = vegetables 82% + seasoning bundle 18%; shares are whole percentages summing to 100</t>
  </si>
  <si>
    <t>KP004</t>
  </si>
  <si>
    <t>Santan murni</t>
  </si>
  <si>
    <t>santan murni (coconut milk); packet = vegetables 82% + seasoning bundle 18%; shares are whole percentages summing to 100</t>
  </si>
  <si>
    <t>Bawang merah, segar</t>
  </si>
  <si>
    <t>shallot; packet = vegetables 82% + seasoning bundle 18%; shares are whole percentages summing to 100</t>
  </si>
  <si>
    <t>Bawang putih, segar</t>
  </si>
  <si>
    <t>garlic; packet = vegetables 82% + seasoning bundle 18%; shares are whole percentages summing to 100</t>
  </si>
  <si>
    <t>NR005</t>
  </si>
  <si>
    <t>Asam masak pohon, segar</t>
  </si>
  <si>
    <t>asam masak (tamarind); packet = vegetables 82% + seasoning bundle 18%; shares are whole percentages summing to 100</t>
  </si>
  <si>
    <t>Cabai merah, segar</t>
  </si>
  <si>
    <t>red chilli, fresh; packet = vegetables 82% + seasoning bundle 18%; shares are whole percentages summing to 100</t>
  </si>
  <si>
    <t>candlenut; packet = vegetables 82% + seasoning bundle 18%; shares are whole percentages summing to 100</t>
  </si>
  <si>
    <t>NR010</t>
  </si>
  <si>
    <t>Boros laja (lengkuas), segar</t>
  </si>
  <si>
    <t>galangal; packet = vegetables 82% + seasoning bundle 18%; shares are whole percentages summing to 100</t>
  </si>
  <si>
    <t>Ketumbar, kering</t>
  </si>
  <si>
    <t>coriander seed; packet = vegetables 82% + seasoning bundle 18%; shares are whole percentages summing to 100</t>
  </si>
  <si>
    <t>NR017</t>
  </si>
  <si>
    <t>Daun salam, bubuk</t>
  </si>
  <si>
    <t>bay leaf (daun salam); packet = vegetables 82% + seasoning bundle 18%; shares are whole percentages summing to 100</t>
  </si>
  <si>
    <t>red chilli</t>
  </si>
  <si>
    <t>DR161</t>
  </si>
  <si>
    <t>Tomat merah, segar</t>
  </si>
  <si>
    <t>tomato</t>
  </si>
  <si>
    <t>Gula putih</t>
  </si>
  <si>
    <t>white sugar</t>
  </si>
  <si>
    <t>Minyak kelapa sawit</t>
  </si>
  <si>
    <t>palm oil</t>
  </si>
  <si>
    <t>garlic</t>
  </si>
  <si>
    <t>shallot</t>
  </si>
  <si>
    <t>746775</t>
  </si>
  <si>
    <t>Garam meja beryodium (Salt, table, iodized)</t>
  </si>
  <si>
    <t>table salt (USDA Foundation 746775: minerals and ash as published, the rest 0 by composition)</t>
  </si>
  <si>
    <t>bottled chilli sauce; no thickener or added water (removed on review); vinegar left out (TKPI cuka lacks vitamin C); recipe value per 100 g = SUMPRODUCT(share/100, ingredient value); recipe value per 100 g = SUMPRODUCT(share/100, ingredient value) over the rows of this item above; a blank ingredient cell counts as 0; bdd = share-weighted edible portion of the ingredients (TKPI BDD; 100 for water and salt)</t>
  </si>
  <si>
    <t>shallot (typical instant bumbu base)</t>
  </si>
  <si>
    <t>garlic (typical instant bumbu base)</t>
  </si>
  <si>
    <t>red chilli, fresh (typical instant bumbu base)</t>
  </si>
  <si>
    <t>Cabai rawit, segar</t>
  </si>
  <si>
    <t>bird's eye chilli, fresh (replaces dried red chilli on review)</t>
  </si>
  <si>
    <t>candlenut (typical instant bumbu base)</t>
  </si>
  <si>
    <t>coriander seed (typical instant bumbu base)</t>
  </si>
  <si>
    <t>white/black pepper (typical instant bumbu base)</t>
  </si>
  <si>
    <t>NR018</t>
  </si>
  <si>
    <t>Jahe, segar</t>
  </si>
  <si>
    <t>ginger (typical instant bumbu base)</t>
  </si>
  <si>
    <t>galangal (typical instant bumbu base)</t>
  </si>
  <si>
    <t>MP006</t>
  </si>
  <si>
    <t>Gula kelapa</t>
  </si>
  <si>
    <t>palm sugar (typical instant bumbu base)</t>
  </si>
  <si>
    <t>palm oil (typical instant bumbu base)</t>
  </si>
  <si>
    <t>CR014</t>
  </si>
  <si>
    <t>Kacang hijau, kering</t>
  </si>
  <si>
    <t>dried mung bean</t>
  </si>
  <si>
    <t>coconut milk, undiluted (KP003 santan dengan air lacks beta-carotene)</t>
  </si>
  <si>
    <t>palm sugar</t>
  </si>
  <si>
    <t>ginger</t>
  </si>
  <si>
    <t>174158</t>
  </si>
  <si>
    <t>Air (water): Water, bottled, generic (USDA SR Legacy 174158)</t>
  </si>
  <si>
    <t>water: USDA SR Legacy 174158 Water, bottled, generic (calcium 10, sodium 2, copper 0.007 mg, ash 0.07 g per 100 g, bdd 100); the same entry as items 175 and 176</t>
  </si>
  <si>
    <t>sweet mung-bean porridge as served; recipe value per 100 g = SUMPRODUCT(share/100, ingredient value) over the rows of this item above; a blank ingredient cell counts as 0; bdd = 100 because the dish is eaten whole and the shares are edible weights; recipe value per 100 g = SUMPRODUCT(share/100, ingredient value) over the rows of this item above; a blank ingredient cell counts as 0; bdd = share-weighted edible portion of the ingredients (TKPI BDD; 100 for water and salt)</t>
  </si>
  <si>
    <t>Nasi</t>
  </si>
  <si>
    <t>CP061</t>
  </si>
  <si>
    <t>Tahu, mentah</t>
  </si>
  <si>
    <t>tofu</t>
  </si>
  <si>
    <t>CP077</t>
  </si>
  <si>
    <t>tempe</t>
  </si>
  <si>
    <t>DR148</t>
  </si>
  <si>
    <t>Taoge, segar</t>
  </si>
  <si>
    <t>bean sprouts</t>
  </si>
  <si>
    <t>DR100</t>
  </si>
  <si>
    <t>Kangkung, segar</t>
  </si>
  <si>
    <t>kangkung</t>
  </si>
  <si>
    <t>long beans</t>
  </si>
  <si>
    <t>DR109</t>
  </si>
  <si>
    <t>Ketimun, segar</t>
  </si>
  <si>
    <t>cucumber</t>
  </si>
  <si>
    <t>Telur ayam ras, segar</t>
  </si>
  <si>
    <t>egg</t>
  </si>
  <si>
    <t>CR030</t>
  </si>
  <si>
    <t>Kacang tanah sangan</t>
  </si>
  <si>
    <t>roasted peanuts (sauce)</t>
  </si>
  <si>
    <t>palm sugar (sauce)</t>
  </si>
  <si>
    <t>garlic (sauce)</t>
  </si>
  <si>
    <t>red chilli (sauce)</t>
  </si>
  <si>
    <t>gado-gado / ketoprak / pecel as served, built purely from the recipe (the mean of TKPI ketoprak and gado-gado is no longer used); recipe value per 100 g = SUMPRODUCT(share/100, ingredient value) over the rows of this item above; a blank ingredient cell counts as 0; bdd = share-weighted edible portion of the ingredients (TKPI BDD; 100 for water and salt)</t>
  </si>
  <si>
    <t>cooked rice</t>
  </si>
  <si>
    <t>palm oil for frying</t>
  </si>
  <si>
    <t>palm sugar (stands in for sweet soy sauce, whose TKPI row lacks five nutrients)</t>
  </si>
  <si>
    <t>home-style fried rice as served; shares are edible weights summing to 100; recipe value per 100 g = SUMPRODUCT(share/100, ingredient value) over the rows of this item above; a blank ingredient cell counts as 0; bdd = 100 because the dish is eaten whole and the shares are edible weights; recipe value per 100 g = SUMPRODUCT(share/100, ingredient value) over the rows of this item above; a blank ingredient cell counts as 0; bdd = share-weighted edible portion of the ingredients (TKPI BDD; 100 for water and salt)</t>
  </si>
  <si>
    <t>coconut milk, undiluted; the 18 santan dengan air of the earlier recipe = about 7 murni + 11 water</t>
  </si>
  <si>
    <t>boiled egg (raw egg values)</t>
  </si>
  <si>
    <t>chayote</t>
  </si>
  <si>
    <t>young jackfruit</t>
  </si>
  <si>
    <t>candlenut</t>
  </si>
  <si>
    <t>NR022</t>
  </si>
  <si>
    <t>Kunyit, segar</t>
  </si>
  <si>
    <t>turmeric (stands in for the turmeric and galangal of the earlier recipe)</t>
  </si>
  <si>
    <t>lontong sayur as served: rice cake in coconut vegetable gravy with egg; the prefix before each ingredient name says which dish it belongs to; recipe value per 100 g = SUMPRODUCT(share/100, ingredient value); a blank ingredient cell counts as 0; recipe value per 100 g = SUMPRODUCT(share/100, ingredient value) over the rows of this item above; a blank ingredient cell counts as 0; bdd = share-weighted edible portion of the ingredients (TKPI BDD; 100 for water and salt)</t>
  </si>
  <si>
    <t>Sate: Ayam, daging, segar</t>
  </si>
  <si>
    <t>chicken satay meat</t>
  </si>
  <si>
    <t>FR019</t>
  </si>
  <si>
    <t>Sate: Kambing, daging, segar</t>
  </si>
  <si>
    <t>goat satay meat</t>
  </si>
  <si>
    <t>FR026</t>
  </si>
  <si>
    <t>Sate: Sapi, daging, lemak sedang, segar</t>
  </si>
  <si>
    <t>beef satay meat</t>
  </si>
  <si>
    <t>Sate: Kacang tanah sangan</t>
  </si>
  <si>
    <t>roasted peanuts for the sauce (TKPI prints no vitamin C: counted 0)</t>
  </si>
  <si>
    <t>Sate: Kecap</t>
  </si>
  <si>
    <t>sweet soy sauce (TKPI leaves potassium, zinc, beta-carotene, riboflavin, niacin blank: counted 0)</t>
  </si>
  <si>
    <t>Sate: Gula kelapa</t>
  </si>
  <si>
    <t>Sate: Bawang merah, segar</t>
  </si>
  <si>
    <t>Sate: Bawang putih, segar</t>
  </si>
  <si>
    <t>Sate: Cabai merah, segar</t>
  </si>
  <si>
    <t>Sate: Garam meja beryodium (Salt, table, iodized)</t>
  </si>
  <si>
    <t>Tongseng: Kambing, daging, segar</t>
  </si>
  <si>
    <t>goat meat</t>
  </si>
  <si>
    <t>Tongseng: Daun kubis, segar</t>
  </si>
  <si>
    <t>Tongseng: Tomat merah, segar</t>
  </si>
  <si>
    <t>Tongseng: Santan murni</t>
  </si>
  <si>
    <t>coconut milk, undiluted (the 7.5 santan dengan air of the earlier recipe = about 3 murni + 4.5 water)</t>
  </si>
  <si>
    <t>Tongseng: Kecap</t>
  </si>
  <si>
    <t>sweet soy sauce (blank TKPI cells counted 0)</t>
  </si>
  <si>
    <t>Tongseng: Minyak kelapa sawit</t>
  </si>
  <si>
    <t>Tongseng: Gula kelapa</t>
  </si>
  <si>
    <t>Tongseng: Bawang merah, segar</t>
  </si>
  <si>
    <t>Tongseng: Bawang putih, segar</t>
  </si>
  <si>
    <t>Tongseng: Cabai rawit, segar</t>
  </si>
  <si>
    <t>bird's eye chilli</t>
  </si>
  <si>
    <t>Tongseng: Jahe, segar</t>
  </si>
  <si>
    <t>Tongseng: Boros laja (lengkuas), segar</t>
  </si>
  <si>
    <t>galangal</t>
  </si>
  <si>
    <t>Tongseng: Garam meja beryodium (Salt, table, iodized)</t>
  </si>
  <si>
    <t>half satay (with salt, no broth water) (chicken, goat, beef with peanut-kecap sauce), half tongseng (goat stew); the three MyFCD satay entries (no copper, zinc) are replaced by TKPI meats and sauce ingredients; the prefix before each ingredient name says which dish it belongs to; recipe value per 100 g = SUMPRODUCT(share/100, ingredient value); a blank ingredient cell counts as 0; recipe value per 100 g = SUMPRODUCT(share/100, ingredient value) over the rows of this item above; a blank ingredient cell counts as 0; bdd = share-weighted edible portion of the ingredients (TKPI BDD; 100 for water and salt)</t>
  </si>
  <si>
    <t>Mi kering</t>
  </si>
  <si>
    <t>dry wheat noodle (retinol and beta-carotene not printed: plant product, counted 0). TKPI prints carbohydrate 6.3 g per 100 g, which does not fit its water 10.6, protein 10.0, fat 1.7, ash 1.4 g and 339 kcal (76.3 g by difference); the printed value is kept as is pending review</t>
  </si>
  <si>
    <t>Ayam, daging, segar</t>
  </si>
  <si>
    <t>chicken meat (mie ayam)</t>
  </si>
  <si>
    <t>Sapi, daging, lemak sedang, segar</t>
  </si>
  <si>
    <t>beef, medium fat (meatball meat)</t>
  </si>
  <si>
    <t>BP070</t>
  </si>
  <si>
    <t>Tepung singkong/ tapioka</t>
  </si>
  <si>
    <t>tapioca flour (meatball binder)</t>
  </si>
  <si>
    <t>DR141</t>
  </si>
  <si>
    <t>Sawi, segar</t>
  </si>
  <si>
    <t>sawi</t>
  </si>
  <si>
    <t>sweet soy sauce; TKPI leaves beta_carotene, riboflavin, niacin, potassium, zinc blank, counted 0 (minimums)</t>
  </si>
  <si>
    <t>Saos tomat</t>
  </si>
  <si>
    <t>tomato sauce; TKPI leaves retinol blank, counted 0 (minimums)</t>
  </si>
  <si>
    <t>one generic bowl covering mie bakso, mie rebus and mie goreng as served; TKPI has no bakso row, so meatball = beef + tapioca; kecap and saus tomat added on review; recipe value per 100 g = SUMPRODUCT(share/100, ingredient value); a blank ingredient cell counts as 0; recipe value per 100 g = SUMPRODUCT(share/100, ingredient value) over the rows of this item above; a blank ingredient cell counts as 0; bdd = share-weighted edible portion of the ingredients (TKPI BDD; 100 for water and salt)</t>
  </si>
  <si>
    <t>171177</t>
  </si>
  <si>
    <t>Soup, ramen noodle, any flavor, dry (USDA SR Legacy 171177)</t>
  </si>
  <si>
    <t>dry instant noodle block with seasoning, analysed (24 samples), full panel including ash; 15 g dry per 100 g prepared reproduces the water content of the FNDDS prepared soup (85.9 g); bdd 100: the dry block has no inedible part</t>
  </si>
  <si>
    <t>prepared instant noodle as eaten = the dry block plus cooking water; one analysed USDA source supplies every nutrient including ash; recipe value per 100 g = SUMPRODUCT(share/100, ingredient value) over the rows above; bdd = share-weighted edible portion of the ingredients</t>
  </si>
  <si>
    <t>FP013</t>
  </si>
  <si>
    <t>Sapi, daging, asap</t>
  </si>
  <si>
    <t>FP015</t>
  </si>
  <si>
    <t>Sapi, daging, kornet</t>
  </si>
  <si>
    <t>FP016</t>
  </si>
  <si>
    <t>Sapi, daging, sosis (Worst)</t>
  </si>
  <si>
    <t>(listed in the gap workbook as "Sapi, sosis")</t>
  </si>
  <si>
    <t>FP017</t>
  </si>
  <si>
    <t>Sapi, hati, sosis (liverworst)</t>
  </si>
  <si>
    <t>(listed in the gap workbook as "Sapi, hati, sosis")</t>
  </si>
  <si>
    <t>172112</t>
  </si>
  <si>
    <t>Chicken nuggets, white meat, frozen, precooked</t>
  </si>
  <si>
    <t>adds the processed-chicken side of the item; values as published by USDA SR Legacy 172112 (bdd 100: no inedible part)</t>
  </si>
  <si>
    <t>recipe value per 100 g = SUMPRODUCT(share/100, ingredient value); recipe value per 100 g = SUMPRODUCT(share/100, ingredient value) over the rows of this item above; a blank ingredient cell counts as 0; bdd = share-weighted edible portion of the ingredients (TKPI BDD; 100 for water and salt)</t>
  </si>
  <si>
    <t>AR001</t>
  </si>
  <si>
    <t>Beras giling, mentah</t>
  </si>
  <si>
    <t>rice-to-water 1:5 (porridge)</t>
  </si>
  <si>
    <t>proportion refers to flesh added; bdd not reapplied (listed in the gap workbook as "Ayam, daging, segar (edible flesh)")</t>
  </si>
  <si>
    <t>BP045</t>
  </si>
  <si>
    <t>Kerupuk udang goreng</t>
  </si>
  <si>
    <t>Garam (iodized salt)</t>
  </si>
  <si>
    <t>bumbu</t>
  </si>
  <si>
    <t>19</t>
  </si>
  <si>
    <t>Siomay: Ikan tenggiri, segar (fish book)</t>
  </si>
  <si>
    <t>main fish component: raw tenggiri from the fish book (Harvard AFCD), the same row that supplies aquatic item 19. The fish book carries no water or total carotene, so this row contributes zero to those two columns and the item values are minimums there. bdd 51.7% is the fish book edible portion for raw tenggiri.</t>
  </si>
  <si>
    <t>Siomay: Tepung singkong/ tapioka</t>
  </si>
  <si>
    <t>tapioca flour</t>
  </si>
  <si>
    <t>Siomay: Tahu, mentah</t>
  </si>
  <si>
    <t>tofu (TKPI prints no vitamin C: counted 0)</t>
  </si>
  <si>
    <t>Siomay: Kentang, segar</t>
  </si>
  <si>
    <t>Siomay: Daun kubis, segar</t>
  </si>
  <si>
    <t>Siomay: Telur ayam ras, segar</t>
  </si>
  <si>
    <t>Siomay: Bawang putih, segar</t>
  </si>
  <si>
    <t>Batagor: Ikan tenggiri, segar (fish book)</t>
  </si>
  <si>
    <t>Batagor: Tepung singkong/ tapioka</t>
  </si>
  <si>
    <t>Batagor: Tahu, mentah</t>
  </si>
  <si>
    <t>Batagor: Minyak kelapa sawit</t>
  </si>
  <si>
    <t>frying oil absorbed</t>
  </si>
  <si>
    <t>Bumbu kacang: Kacang tanah sangan</t>
  </si>
  <si>
    <t>roasted peanuts (replaces the USDA label peanut sauce, which reported five nutrients only)</t>
  </si>
  <si>
    <t>Bumbu kacang: Gula kelapa</t>
  </si>
  <si>
    <t>Bumbu kacang: Cabai merah, segar</t>
  </si>
  <si>
    <t>Bumbu kacang: Bawang putih, segar</t>
  </si>
  <si>
    <t>siomay (steamed) and batagor (fried) with peanut sauce; the fish share stays 22 (12 + 10), so dha_epa is unchanged; the prefix before each ingredient name says which dish it belongs to; recipe value per 100 g = SUMPRODUCT(share/100, ingredient value); a blank ingredient cell counts as 0; recipe value per 100 g = SUMPRODUCT(share/100, ingredient value) over the rows of this item above; a blank ingredient cell counts as 0; bdd = share-weighted edible portion of the ingredients (TKPI BDD; 100 for water and salt)</t>
  </si>
  <si>
    <t>QR001</t>
  </si>
  <si>
    <t>Es campur: Kelapa muda, air, segar</t>
  </si>
  <si>
    <t>ER046</t>
  </si>
  <si>
    <t>Es campur: Kelapa muda, daging, segar</t>
  </si>
  <si>
    <t>Es campur: Susu kental manis</t>
  </si>
  <si>
    <t>MP014</t>
  </si>
  <si>
    <t>Es campur: Sirup</t>
  </si>
  <si>
    <t>ER054</t>
  </si>
  <si>
    <t>Es campur: Mangga, segar</t>
  </si>
  <si>
    <t>ER070</t>
  </si>
  <si>
    <t>Es campur: Nanas, segar</t>
  </si>
  <si>
    <t>ER071</t>
  </si>
  <si>
    <t>Es campur: Nangka masak pohon, segar</t>
  </si>
  <si>
    <t>ER001</t>
  </si>
  <si>
    <t>Es campur: Alpukat, segar</t>
  </si>
  <si>
    <t>CP009</t>
  </si>
  <si>
    <t>Es kacang merah: Kacang merah segar, rebus</t>
  </si>
  <si>
    <t>boiled fresh red beans</t>
  </si>
  <si>
    <t>Es kacang merah: Susu kental manis</t>
  </si>
  <si>
    <t>Es kacang merah: Kelapa muda, daging, segar</t>
  </si>
  <si>
    <t>Es kacang merah: Kelapa muda, air, segar</t>
  </si>
  <si>
    <t>ER106</t>
  </si>
  <si>
    <t>Es kacang merah: Sirsak, segar</t>
  </si>
  <si>
    <t>Es kacang merah: Nangka masak pohon, segar</t>
  </si>
  <si>
    <t>Es kacang merah: Alpukat, segar</t>
  </si>
  <si>
    <t>es lainnya as two equally weighted sub-recipes, es campur and es kacang merah (the es cincau sub-recipe was dropped: no table with a full panel carries grass jelly); recipe value per 100 g = SUMPRODUCT(share/100, ingredient value) over the rows above; a blank ingredient cell counts as 0; bdd = share-weighted edible portion of the ingredients</t>
  </si>
  <si>
    <t>168746</t>
  </si>
  <si>
    <t>Beer, regular, all (Bir Bintang proxy)</t>
  </si>
  <si>
    <t>173664</t>
  </si>
  <si>
    <t>Distilled spirits, 100 proof (arak/sopi proxy)</t>
  </si>
  <si>
    <t>50% ABV matches arak. North Maluku's own spirit is sopi (distilled aren/palm sap) - no FCD entry exists anywhere, this is its stand-in</t>
  </si>
  <si>
    <t>fct_nutrients_filled.xlsx - curated list of the blank nutrient cells in indonesia_fct_complete.csv and the values that fill them</t>
  </si>
  <si>
    <t>Built from indonesia_fct_complete.csv (182 x 27) and blok41_fct_joined.csv (records bought).</t>
  </si>
  <si>
    <t>CURRENT STATE (read this first; the sections below record how the file got here)</t>
  </si>
  <si>
    <t xml:space="preserve">  Nutrient Fill: 536 rows, one per cell placed into the FCT; methods recipe (sheet Recipes), borrowed (one analysed entry, or the mean of a few), zero_by_biology (retinol of plant foods), zero_by_composition (MSG).</t>
  </si>
  <si>
    <t xml:space="preserve">  Recipes: 16 items built from ingredients, each block followed by its bold RECIPE VALUE row (SUM of shares, SUMPRODUCT per nutrient over the rows above). Do not sort or delete rows here; ask for the sheet to be regenerated.</t>
  </si>
  <si>
    <t xml:space="preserve">  Final Values: all 182 SUSENAS items with the value each cell will have after the fill step; red bold = value from this file, plain black = value of indonesia_fct_complete.csv; cells_from_this_file counts the bold cells per item. The updated asean_fcd_2014.csv stores its beverage rows per 100 g (already divided by density), so the values of items 178 and 179 are unchanged; the non-aquatic build step must stop dividing by density when it is rerun.</t>
  </si>
  <si>
    <t xml:space="preserve">  Rules: source values are used as published (TKPI, fish book, USDA, TACO, Ajinomoto), including cells known to be doubtful (TKPI AP022 carbohydrate, fish book riboflavin, TKPI copper), which are for review with the sources; dha_epa of a non-aquatic item is 0 unless it has an aquatic ingredient with a dha_epa value (173); six items with aquatic ingredients whose source lacks DHA/EPA carry 0 as a floor (124, 139, 148, 163, 169, 172).</t>
  </si>
  <si>
    <t xml:space="preserve">  ingredient cells a source leaves blank count as 0 inside a recipe; every recipe ends with no blank cell; bdd of a recipe is the share-weighted TKPI BDD of its ingredients; bdd of a single-source item consumed whole is 100.</t>
  </si>
  <si>
    <t xml:space="preserve">  Water in recipes = bottled mineral water label (calcium 0.914, potassium 0.3, sodium 3.5 mg per 100 g). Table salt = USDA Foundation 746775. All recipe shares have been reviewed and accepted.</t>
  </si>
  <si>
    <t xml:space="preserve">  This workbook replaces gap_filling_calculation.xlsx as the single input of the fill step; the pipeline change (build_indonesia_fct_complete.R reads Nutrient Fill, gap-filling step retired) is the next task.</t>
  </si>
  <si>
    <t xml:space="preserve">  Item 144 label: this file and the linking file now read "Bumbu masak jadi/kemasan, bumbu racikan"; the FCT tables carry the old spelling until the pipeline is rerun.</t>
  </si>
  <si>
    <t xml:space="preserve">  Sources not yet re-verified in this file by a second reading: MyFCD 1997 entries (items 91, 139) and the Ajinomoto sheet values (item 141) were transcribed once from the source pages.</t>
  </si>
  <si>
    <t>WHAT THIS FILE IS</t>
  </si>
  <si>
    <t>Started as one row per blank cell of indonesia_fct_complete.csv (141 cells in 54 items). It now also holds every cell of the items rebuilt whole (recipes, single analysed entries), so Nutrient Fill has 536 rows covering 64 items; sheet Final Values shows the outcome for all 182 items.</t>
  </si>
  <si>
    <t>Category header rows (13) are not listed. Each row names the item, the nutrient, why the cell is blank (cause), and,</t>
  </si>
  <si>
    <t>once decided, the value that fills it with its full provenance. Nothing in indonesia_fct_complete.csv is changed by this file;</t>
  </si>
  <si>
    <t>a later script step reads it and places the values.</t>
  </si>
  <si>
    <t>COLUMNS</t>
  </si>
  <si>
    <t>susenas_code, susenas_item, food_group   the SUSENAS item</t>
  </si>
  <si>
    <t>fct_source, fct_source_codes             the source and codes the item's other nutrients come from</t>
  </si>
  <si>
    <t>records_bought                           consumption records of the item in blok 41 (0 = never bought), a measure of how much the gap matters</t>
  </si>
  <si>
    <t>nutrient, unit                           the blank column, in the FCT's name and unit</t>
  </si>
  <si>
    <t>status                                   filled (every row)</t>
  </si>
  <si>
    <t>method                                   zero_by_biology, borrowed, recipe or zero_by_composition (see METHODS)</t>
  </si>
  <si>
    <t>value                                    the value in the FCT's unit, ready to use</t>
  </si>
  <si>
    <t>source_table, source_id, source_food     where a borrowed value comes from: the table, the entry id, the entry name as printed there</t>
  </si>
  <si>
    <t>source_value, source_unit, conversion    the value as published, its unit, and how the FCT value was reached: a factor (value = source_value x factor), or a short description (sum(share/100 x ingredient value), mean of 2 entries, trace taken as 0, not detected taken as 0). For recipe rows source_value is the RECIPE VALUE computed in sheet Recipes; for the two zero rules it states what the source prints.</t>
  </si>
  <si>
    <t>source_url, source_url_2, source_url_3   the web address of each entry behind the value ("TKPI 2020" for the printed book, "none" where not applicable); a mean of two or three entries lists one address per column</t>
  </si>
  <si>
    <t>cause                                    why the cell is blank in the primary source</t>
  </si>
  <si>
    <t>note                                     why the source entry is the equivalent food, and any caveat</t>
  </si>
  <si>
    <t>CAUSES OF THE BLANKS (the 141 blank cells)</t>
  </si>
  <si>
    <t>42  no recipe ingredient reports the nutrient: the gap-filling items built from label-only USDA Branded products (130, 141, 144) and 158</t>
  </si>
  <si>
    <t>35  TKPI prints no value for any of the item's pooled codes (13 items, e.g. kecap, mie instan, tahu, roti manis, merica)</t>
  </si>
  <si>
    <t>32  TKPI prints no retinol for a plant food (32 items)</t>
  </si>
  <si>
    <t xml:space="preserve"> 4  ASEAN FCD prints no value for the pooled drink codes (items 178, 179)</t>
  </si>
  <si>
    <t>METHODS</t>
  </si>
  <si>
    <t>zero_by_biology  Retinol (preformed vitamin A) occurs only in animal foods. For a plant food the source leaves the cell empty</t>
  </si>
  <si>
    <t xml:space="preserve">                 rather than printing 0; the true value is 0. Applied to 33 cells: 31 TKPI plant foods plus coffee (130, 131).</t>
  </si>
  <si>
    <t xml:space="preserve">                 Not applied to 139 (terasi/petis, shrimp or fish paste: animal), 141 (MSG, a manufactured compound), 144 (packaged bumbu, may contain animal ingredients) or</t>
  </si>
  <si>
    <t xml:space="preserve">                 147 (mie instan, may contain egg).</t>
  </si>
  <si>
    <t>borrowed         One entry for the same food in the same processing state, taken from another compiled table, in this order of</t>
  </si>
  <si>
    <t xml:space="preserve">                 preference: USDA FoodData Central SR Legacy / Foundation, MyFCD (Malaysia), Thai FCT, Philippine FCT, ASEAN FCD.</t>
  </si>
  <si>
    <t xml:space="preserve">                 Only the blank nutrients are taken; values the primary source has are never overwritten. Nutrient names are matched</t>
  </si>
  <si>
    <t xml:space="preserve">                 exactly (USDA Retinol for retinol, not Vitamin A RAE; Fiber, total dietary for fiber). Units are converted to the</t>
  </si>
  <si>
    <t xml:space="preserve">                 FCT unit and the published value is kept beside the converted one.</t>
  </si>
  <si>
    <t>recipe           value = sum(share/100 x TKPI raw-ingredient value), shares summing to 100 (sheet Recipes); see RECIPES below. 67 cells: items 87, 88, 144 (whole) and 158 (7 cells).</t>
  </si>
  <si>
    <t>zero_by_composition  The food is a single manufactured compound (MSG, item 141, &gt;= 99% monosodium glutamate by the JECFA and EU specifications), so a nutrient</t>
  </si>
  <si>
    <t xml:space="preserve">                 with no place in the molecule is 0 within the precision of the table. 5 cells: copper, zinc, thiamin, riboflavin, niacin.</t>
  </si>
  <si>
    <t>borrowed also covers manufacturer analyses (Ajinomoto MSG, item 141) and results reported as trace or not detected, which are taken as 0.</t>
  </si>
  <si>
    <t>pending          Was used while a cell was undecided; no row is pending.</t>
  </si>
  <si>
    <t>RULE CHANGE</t>
  </si>
  <si>
    <t>Originally the table followed the rule that gaps stay blank and are never filled from a non-primary source.</t>
  </si>
  <si>
    <t>This file records the cells for which that rule is relaxed, so that every filled value remains traceable and reversible.</t>
  </si>
  <si>
    <t>RECIPES (sheet Recipes)</t>
  </si>
  <si>
    <t>recipe   value = sum(share/100 x ingredient value) over TKPI raw ingredients (and cooked rice for lontong), shares summing to 100. Sheet Recipes shows, for every ingredient, its TKPI value for each of the 20 nutrients, and a bold RECIPE VALUE row per item with the weighted sums.</t>
  </si>
  <si>
    <t xml:space="preserve">         all-plant recipe is 0 by biology; bdd is the share-weighted TKPI BDD.</t>
  </si>
  <si>
    <t xml:space="preserve">         87 and 88 (vegetable packets): the whole item is rebuilt, because SUSENAS records a raw packet while the TKPI rows used so far</t>
  </si>
  <si>
    <t xml:space="preserve">         (DP053 sayur sop, DP047 sayur asem) are cooked soups. Every one of their 21 cells has a row in Nutrient Fill.</t>
  </si>
  <si>
    <t xml:space="preserve">         158 (gado-gado/ketoprak/pecel): only the seven blank cells are filled from the recipe; the analysed TKPI dish values stay.</t>
  </si>
  <si>
    <t xml:space="preserve">         These recipes are intended to move into gap_filling_calculation.xlsx and build_indonesia_fct_gap_filling.R later.</t>
  </si>
  <si>
    <t>OTHER TABLES SURVEYED FOR THE REMAINING CELLS</t>
  </si>
  <si>
    <t>MyFCD 1997 (Malaysia, 1,033 foods): minerals reported are Ca, Fe, P, K, Na only; no copper or zinc. Used for items 91, 139, 142, 149, 157, 160, 166.</t>
  </si>
  <si>
    <t>MyFCD current (Malaysia, 234 foods): label-level entries (energy, water, macronutrients; a few minerals); no copper or zinc. Not used.</t>
  </si>
  <si>
    <t>Thai FCD online v3, Aug 2025 (INMU Mahidol, https://inmu.mahidol.ac.th/thaifcd/): entries for fried rice, wheat-noodle soup, hot and sweet chilli sauce,</t>
  </si>
  <si>
    <t xml:space="preserve">         tea with milk, 3-in-1 coffee and sweetened boiled mung bean all print copper, zinc, potassium and phosphorus as '-' (not analysed). Not used.</t>
  </si>
  <si>
    <t>Vietnamese FCT 2007 (NIN, FAO/INFOODS PDF): Coca Cola (14004) and shrimp paste (8056) carry Ca, P, vitamin C only; copper, zinc, potassium, sodium blank. Not used.</t>
  </si>
  <si>
    <t>Philippine FCT (PhilFCT, FNRI): the online database requires a registered login; not consulted.</t>
  </si>
  <si>
    <t>ASEAN FCD 2014 (local copy, merges TH/PH/MY/VN data): no entries for MSG, ground coffee, fried rice, infant cereal or soda; drink entries lack copper and zinc. Not used.</t>
  </si>
  <si>
    <t>Consequence: every remaining copper and zinc cell, the three drink items (177, 178, 179) and the recipe items 130 and 144 wait for USDA FoodData Central (SR Legacy / Foundation).</t>
  </si>
  <si>
    <t>ALL CELLS FILLED</t>
  </si>
  <si>
    <t xml:space="preserve">                  166 mean of lo mein FNDDS 2708798 and noodle soup FNDDS 2709145); drinks 177 mean of cola SR 174852 and black tea RTD SR 174144, 178 mean of fruit juice drink</t>
  </si>
  <si>
    <t xml:space="preserve">                  SR 171947 and energy drink SR 174108, 179 mean of chocolate milk SR 170879 and milk-based RTD coffee SR 171880; 130 beta-carotene 0 from instant coffee SR 171893.</t>
  </si>
  <si>
    <t xml:space="preserve">                  Pages were read on fdc.nal.usda.gov; FNDDS = USDA's survey food table (2021-2023), used where SR Legacy has no dish.</t>
  </si>
  <si>
    <t>borrowed (TACO)   130 Cafe, po, torrado, TACO 4th ed. item 511 (NEPA/UNICAMP, Brazil): ash, copper, niacin, phosphorus, potassium, zinc; thiamin, riboflavin, vitamin C are Tr (&lt; 0.05) -&gt; 0.</t>
  </si>
  <si>
    <t>SUPERSEDED (see MSG (ITEM 141) RE-SOURCED below): zero_by_composition  141 MSG: 12 nutrients 0 by the JECFA specification (&gt;= 99% one compound); sodium fixed by formula at 12.28 g.</t>
  </si>
  <si>
    <t>SUPERSEDED: calculated_from_formula  141 MSG ash 28.3 g = sodium 12.28 g x 105.99/45.98 (sodium carbonate residue on ignition). Replaced by the measured 27.8 g.</t>
  </si>
  <si>
    <t>recipe            144 packaged bumbu rebuilt as a whole item from 11 TKPI raw spices (sheet Recipes), replacing the five USDA Branded label products.</t>
  </si>
  <si>
    <t>Every filled value keeps its source table, entry id and name, published value and unit, conversion and URL; recipe rows point to sheet Recipes.</t>
  </si>
  <si>
    <t>MSG (ITEM 141) RE-SOURCED</t>
  </si>
  <si>
    <t>Ajinomoto North America publishes an analysis of pure MSG per 100 g as purchased (Nutritional Information, Form 5092; the 06/19 and 08/12 forms print identical values):</t>
  </si>
  <si>
    <t xml:space="preserve">  energy 282 kcal, fat 0 g, protein 0.0 g, carbohydrate n.d., sodium 12,300 mg, calcium 21.2 mg, iron 0.4 mg, phosphorus 1.3 mg, potassium 0.8 mg, ash 27.8%, moisture 0.2%,</t>
  </si>
  <si>
    <t xml:space="preserve">  vitamin A (retinol equivalents) n.d., vitamin C n.d.; copper, magnesium and zinc n.a. (not analysed). n.d. = not detected.</t>
  </si>
  <si>
    <t xml:space="preserve">  The 2021 Ajinomoto Australia product specification for the same product states country of origin Indonesia, energy 1180 kJ (282 kcal), protein/fat/carbohydrate 0 g, sodium 12,300 mg.</t>
  </si>
  <si>
    <t xml:space="preserve">  Sodium 12,300 mg = 12.3% agrees with the 12.28% sodium of pure C5H8NNaO4.H2O, so the analysed product is essentially pure MSG.</t>
  </si>
  <si>
    <t xml:space="preserve">  A copy of the 06/19 form is kept with the project files; public copy of the 08/12 form: https://ingredi.com/content/pdfs/MSG_Nutritional_Data.pdf</t>
  </si>
  <si>
    <t>Rows changed: ash 27.8 g (measured; replaces the stoichiometric 28.31 g, method now borrowed), calcium 21.2, iron 0.4, phosphorus 1.3, potassium 0.8 mg (measured traces, were 0),</t>
  </si>
  <si>
    <t xml:space="preserve">  retinol 0, beta_carotene 0, vitamin_c 0 (now backed by the n.d. results, method borrowed). Copper, zinc, thiamin, riboflavin, niacin stay 0 by composition (JECFA/EU &gt;= 99% purity);</t>
  </si>
  <si>
    <t xml:space="preserve">  their notes record that Ajinomoto did not analyse copper and zinc.</t>
  </si>
  <si>
    <t>Comparison, not adopted: the China Food Composition Table (China CDC platform, https://nlc.chinanutri.cn/fq/foodinfo/1566.html) lists MSG with energy 1140 kJ, protein 40.1 g (nitrogen x 6.25),</t>
  </si>
  <si>
    <t xml:space="preserve">  carbohydrate 26.5 g (by difference), ash 33.0 g, sodium 8,160 mg, calcium 100, iron 1.2, zinc 0.31, copper 0.12, thiamin 0.08, riboflavin 0.00, niacin 0.30 mg. Sodium 8,160 mg and ash 33 g</t>
  </si>
  <si>
    <t xml:space="preserve">  show that sample is not pure MSG, so its values do not describe the &gt;= 99% product sold in Indonesia.</t>
  </si>
  <si>
    <t>Energy: the 282 kcal is the energy of the glutamate itself (the heat of combustion of L-glutamic acid, 2,250 kJ/mol, NIST WebBook, gives 3.66 kcal/g of glutamic acid, about 287 kcal per 100 g of MSG monohydrate),</t>
  </si>
  <si>
    <t xml:space="preserve">  not an Atwater value from protein, fat and carbohydrate, which would be 0. The energy and sodium cells of item 141 are not blank in indonesia_fct_complete.csv (0 kcal and 12,500 mg from USDA Branded labels),</t>
  </si>
  <si>
    <t xml:space="preserve">  so they are outside this file; replacing them means changing the item 141 recipe in gap_filling_calculation.xlsx to the Ajinomoto analysis (energy 282, sodium 12,300, plus the cells above).</t>
  </si>
  <si>
    <t>USDA Branded entry 2568847 (Ajinomoto USA, 2023, serving 1 g) was also checked: label values only (energy 0, protein 0, fat 0, carbohydrate 0, sodium 12,500 mg), nothing new. USDA SR Legacy, Foundation and FNDDS have no MSG entry.</t>
  </si>
  <si>
    <t>TIDY-UP</t>
  </si>
  <si>
    <t>source_url now holds one address per cell (further addresses moved to the end of the note); source_unit filled for the zero_by_biology rows; below-detection results worded alike (trace taken as 0, not detected taken as 0); notes wrapped; item 144 recipe shares confirmed.</t>
  </si>
  <si>
    <t>RECIPES EXTENDED</t>
  </si>
  <si>
    <t>Five more items are rebuilt whole from recipes in sheet Recipes: 160 nasi goreng, 166 mie bakso/rebus/goreng, 157 bubur kacang hijau, 142 sambal jadi and 167 mie instan (jadi).</t>
  </si>
  <si>
    <t xml:space="preserve">  Two ingredients outside TKPI are allowed in recipes: water (all nutrients 0) and table salt (USDA Foundation 746775: ash, calcium, potassium, sodium, copper, iron, phosphorus, zinc as published; the rest 0 by composition).</t>
  </si>
  <si>
    <t xml:space="preserve">  Dish rule: for a dish eaten whole the shares are edible weights and bdd = 100 (items 142, 157, 160, 166, 167); for the raw packets 87 and 88 and the bumbu 144 bdd stays the share-weighted TKPI BDD.</t>
  </si>
  <si>
    <t xml:space="preserve">  Shares are assumptions from typical Indonesian preparation and are marked so in every note; they are the part of this method that needs review.</t>
  </si>
  <si>
    <t>ITEM 177 RE-SOURCED</t>
  </si>
  <si>
    <t xml:space="preserve">  All 19 nutrient cells (bdd stays 100) now come from one table: the mean of three USDA SR Legacy drinks per 100 g, sweetened bottled black tea (171888), regular cola (174852) and lemon-lime soda (173205).</t>
  </si>
  <si>
    <t>ITEM 149 KEPT</t>
  </si>
  <si>
    <t>New rows are appended at the end of Nutrient Fill in item order; earlier rows keep their position.</t>
  </si>
  <si>
    <t>TKPI PRINTING ERROR FOUND WHILE BUILDING THE NOODLE RECIPES</t>
  </si>
  <si>
    <t xml:space="preserve">  TKPI AP022 Mi kering prints carbohydrate 6.3 g per 100 g, in the book and on panganku.org. With water 10.6, protein 10.0, fat 1.7 and ash 1.4 g the carbohydrate by difference is 76.3 g,</t>
  </si>
  <si>
    <t xml:space="preserve">  which also agrees with the printed 339 kcal. The recipes of 166 and 167 use 76.3 g for this ingredient, marked in bold italics in sheet Recipes; every other AP022 value is as printed.</t>
  </si>
  <si>
    <t xml:space="preserve">  Consequence outside this file: item 147 Mie instan takes its whole row from AP022, so indonesia_fct_complete.csv carries carbohydrate 6.3 g for it (3,172 consumption records). That cell is not blank</t>
  </si>
  <si>
    <t xml:space="preserve">  and is therefore not handled here; it needs a decision on correcting the source row, as was done for GP059.</t>
  </si>
  <si>
    <t xml:space="preserve">  142 sambal jadi: tapioca and water removed; shares cabai merah 51, tomat 18, gula putih 11, minyak 6, bawang merah 6, bawang putih 5, garam 3.</t>
  </si>
  <si>
    <t xml:space="preserve">  166 mie: kecap (NP005) 3 and saus tomat (NP009) 2 added; broth reduced to 40. TKPI leaves potassium, zinc, beta-carotene, riboflavin and niacin blank for kecap and retinol for saus tomat; those cells count as 0.</t>
  </si>
  <si>
    <t xml:space="preserve">  167 mie instan (jadi) is NOT a recipe any more (see below).</t>
  </si>
  <si>
    <t>ITEMS 147 AND 167 FROM ONE USDA SOURCE FAMILY</t>
  </si>
  <si>
    <t xml:space="preserve">  147 Mie instan (dry, as bought): all 19 nutrient cells from USDA SR Legacy 171177 Soup, ramen noodle, any flavor, dry (analysed, 24 samples, full panel). TKPI AP022 Mi kering is a plain dry noodle</t>
  </si>
  <si>
    <t xml:space="preserve">  without seasoning and prints carbohydrate 6.3 g (impossible; 76.3 g by difference), so it no longer sources the item. bdd stays 100.</t>
  </si>
  <si>
    <t xml:space="preserve">  167 Mie instan (jadi) (prepared, as eaten): 18 cells from USDA FNDDS 2709152 Soup, ramen noodles, water added, the FNDDS preparation of the same dry ramen (85.9 g water per 100 g); FNDDS has no ash,</t>
  </si>
  <si>
    <t xml:space="preserve">  so ash = SR ash x dry-matter ratio (100-85.89)/(100-6.52) = 0.151, a derivation. bdd stays 100.</t>
  </si>
  <si>
    <t xml:space="preserve">  Indonesian brands were checked: USDA Branded 2677255 Indomie chicken (label) prints 11 nutrients only, without copper, zinc, phosphorus, potassium or B vitamins; its energy 429 kcal and sodium 1,690 mg agree with SR 171177 (440, 1,860).</t>
  </si>
  <si>
    <t>ITEM 141 COMPLETED FROM AJINOMOTO</t>
  </si>
  <si>
    <t xml:space="preserve">  energy 282 kcal, protein 0, fat 0, carbohydrate 0 (n.d.), fiber 0 (n.e.), sodium 12,300 mg replace the two USDA Branded label products; with the rows added earlier every cell of item 141 is now documented here.</t>
  </si>
  <si>
    <t>GAP-FILLING ITEMS MOVED INTO THIS FILE</t>
  </si>
  <si>
    <t xml:space="preserve">  Every item formerly built in gap_filling_calculation.xlsx (130, 134, 141, 158, 162, 165, 171, 172, 173, 175, 176, 181, 182; 144 was already here) now has its ingredients, shares and sources in sheet Recipes</t>
  </si>
  <si>
    <t xml:space="preserve">  and 173 (label peanut sauce: five nutrients only) therefore carry hidden zeros in those cells; whether to rebuild them from TKPI raw ingredients is an open decision.</t>
  </si>
  <si>
    <t xml:space="preserve">  Water rows carry the bottled mineral water label values used in the gap workbook (calcium 0.914, potassium 0.3, sodium 3.5 mg per 100 g); items 175 and 176 are those label values.</t>
  </si>
  <si>
    <t xml:space="preserve">  173 dha_epa is the only non-constant dha_epa among non-aquatic items (22% tenggiri from the fish book) and has its own row.</t>
  </si>
  <si>
    <t xml:space="preserve">  Once the fill step reads this file, gap_filling_calculation.xlsx and build_indonesia_fct_gap_filling.R are no longer needed in the pipeline.</t>
  </si>
  <si>
    <t>ITEMS 162, 165, 173 REBUILT FROM TKPI RAW INGREDIENTS</t>
  </si>
  <si>
    <t xml:space="preserve">  replace the three MyFCD satays; tongseng half unchanged in composition; 23 ingredients. 173 siomay, batagor: TKPI peanuts, palm sugar, chilli and garlic replace the USDA label peanut sauce; fish share still 22 (dha_epa unchanged); 18 ingredients.</t>
  </si>
  <si>
    <t xml:space="preserve">  Ingredient names carry the dish they belong to (Sate:, Tongseng:, Siomay:, Batagor:, Bumbu kacang:, Lontong:, Sayur:, Bumbu:). bdd = 100 for the three (dish eaten whole). Kecap NP005 and roasted peanuts CR030 keep their blank TKPI cells counted as 0, stated in the notes.</t>
  </si>
  <si>
    <t>RECIPES SHEET REGENERATED</t>
  </si>
  <si>
    <t xml:space="preserve">  The sheet was rewritten in one pass so that every RECIPE VALUE formula points at its own block (earlier row deletions had left formulas pointing at other blocks and at themselves, hence the circular-reference warning).</t>
  </si>
  <si>
    <t xml:space="preserve">  Every ingredient row of TKPI origin carries the TKPI values afresh (checked cell by cell); USDA, fish book and water rows keep their recorded values. One bdd rule for every recipe: share-weighted edible portion of the ingredients</t>
  </si>
  <si>
    <t xml:space="preserve">  (TKPI BDD; 100 for water and salt). 158 is now built purely from its 13-ingredient recipe; the mean of TKPI ketoprak and gado-gado is no longer used anywhere.</t>
  </si>
  <si>
    <t>THIRD REVISION OF THE RECIPES</t>
  </si>
  <si>
    <t xml:space="preserve">  144: NR015 cabai rawit segar replaces NR013 cabai merah kering; item label corrected to "Bumbu masak jadi/kemasan, bumbu racikan" (the FCT and linking file still print "maskan").</t>
  </si>
  <si>
    <t xml:space="preserve">  158: salt 1 added (nasi 24). 165: broth water removed; tongseng reshared (kambing 20, kubis 7, tomat 4, santan murni 6) and salt added to the sate half (ayam 14).</t>
  </si>
  <si>
    <t xml:space="preserve">  Every water row in every recipe carries the gap-filling workbook water values (calcium 0.914, potassium 0.3, sodium 3.5 mg per 100 g).</t>
  </si>
  <si>
    <t xml:space="preserve">  166: the noodle ingredient AP022 keeps its printed carbohydrate 6.3 g; the misprint is left for review with the supervisor.</t>
  </si>
  <si>
    <t xml:space="preserve">  130: energy, protein, fat, carbohydrate, fiber, calcium, iron and sodium now from TACO 511 Cafe, po, torrado, so the whole item comes from TACO (beta-carotene 0 from USDA instant coffee, retinol 0 by biology).</t>
  </si>
  <si>
    <t xml:space="preserve">  The Recipes sheet was regenerated in one pass (formulas reference their own block only) and every recipe row in Nutrient Fill reflects it.</t>
  </si>
  <si>
    <t>FOURTH REVISION</t>
  </si>
  <si>
    <t xml:space="preserve">  87: merica kering NR023 1 and pala biji kering NR024 1 added (wortel 28). Every recipe has one plain water row named "Air (water)" with the bottled-water label values</t>
  </si>
  <si>
    <t xml:space="preserve">  (calcium 0.914, potassium 0.3, sodium 3.5 mg per 100 g, bdd 100); the separate water shares of the es lainnya and siomay sub-recipes are merged into that one row. 182 minuman keras contains no water row (beer and spirits only).</t>
  </si>
  <si>
    <t>RECIPES MADE SORT-PROOF</t>
  </si>
  <si>
    <t xml:space="preserve">  Sheet Recipes now holds ingredient rows only, in ascending susenas_code order, and may be sorted or filtered freely. The totals live in the new sheet Recipe Values, one row per item:</t>
  </si>
  <si>
    <t xml:space="preserve">  ingredients = COUNTIF of the item code, share_total = SUMIF of the shares, each nutrient = SUMPRODUCT((code matches) x (share/100) x value) over the whole Recipes range, so the result</t>
  </si>
  <si>
    <t xml:space="preserve">  does not depend on where the rows sit. Blank ingredient cells count as 0. Nutrient Fill recipe rows point at the Recipe Values cell they come from.</t>
  </si>
  <si>
    <t>RECIPE TOTALS BACK IN SHEET RECIPES, AT THE BOTTOM</t>
  </si>
  <si>
    <t xml:space="preserve">  Rows 2-178 of sheet Recipes are the ingredient table (ascending susenas_code, sortable and filterable); row 179 is a blank buffer; the 15 RECIPE VALUE rows follow from row 181, one per item:</t>
  </si>
  <si>
    <t xml:space="preserve">  ingredients = COUNTIF of the item code, share_total = SUMIF of the shares, each nutrient = SUMPRODUCT((code matches) x (share/100) x value) over rows 2-179 (rows inserted inside that range are picked up automatically; the sheet is regenerated by script when recipes change). Because the totals sit outside the</t>
  </si>
  <si>
    <t xml:space="preserve">  scanned range there is no circular reference, and because they select rows by code, sorting the ingredient table never changes them. Sheet Recipe Values was removed (kept in a backup).</t>
  </si>
  <si>
    <t>RECIPE TOTALS DIRECTLY UNDER EACH ITEM (final layout)</t>
  </si>
  <si>
    <t xml:space="preserve">  Items in ascending susenas_code order; each item ends with its bold RECIPE VALUE row, whose formulas are plain SUM and SUMPRODUCT over that item's rows just above it.</t>
  </si>
  <si>
    <t xml:space="preserve">  Do not sort or delete rows in this sheet: the formulas point at fixed rows. To change a recipe, edit shares or ingredient values in place, or ask for the sheet to be regenerated. The filter is switched off for the same reason.</t>
  </si>
  <si>
    <t>Water source: every water value (items 175 and 176, and the water rows of recipes 157, 162, 166, 167, 172, 173, 181) comes from USDA SR Legacy 174158 Water, bottled, generic; the earlier single-brand nutrition-label values are retired.</t>
  </si>
  <si>
    <t>Source column: an item whose 20 panel cells all come from this file carries the names of the databases behind them (tkpi, afcd, usda, taco, brand, fao), several names separated by a comma; items with only some cells filled keep the label of their origin table.</t>
  </si>
  <si>
    <t xml:space="preserve">         167 (mie instan jadi): the entry first matched was the dry noodle, so its four missing minerals were borrowed from TKPI AP022 mi kering (superseded: see ITEMS 147 AND 167 FROM ONE USDA SOURCE FAMILY).</t>
  </si>
  <si>
    <t xml:space="preserve">         Only ingredients with a complete panel are used (melinjo fruit and leaf, and a lontong entry without the full panel, were left out); retinol of an</t>
  </si>
  <si>
    <t xml:space="preserve">  149 bubur bayi kemasan: all 19 nutrient cells from USDA SR Legacy 170969 (full panel); the earlier three-source mix (first-matched entry, MyFCD, USDA copper) is retired.</t>
  </si>
  <si>
    <t xml:space="preserve">  162 lontong sayur: cooked rice AP001 replaces the lontong entry; santan dengan air replaced by santan murni + water; 14 ingredients. 165 sate, tongseng: TKPI chicken, goat and beef meats with a peanut-kecap sauce</t>
  </si>
  <si>
    <t xml:space="preserve">  167 in addition: the entry first matched was the DRY noodle (12.8 g water per 100 g) while the item and its unit (portion, 200 g) are the prepared noodle, so the dry values overstated intake about three-fold.</t>
  </si>
  <si>
    <t xml:space="preserve">  A brewed sweetened tea entry (3.2 g carbohydrate, 12.8 kcal per 100 g) was not used: it does not represent packaged sweet tea and sodas (about 10 g sugar, 42-45 kcal per 100 g).</t>
  </si>
  <si>
    <t xml:space="preserve">  Bubur bayi kemasan kept its first-matched entry for 16 nutrients, MyFCD milk cereal for infants for phosphorus, potassium and sodium, and USDA SR 170969 for copper. USDA SR 170969 (US fortified rice cereal) carries the full panel</t>
  </si>
  <si>
    <t xml:space="preserve">  Ingredient nutrients a source does not report count as 0 in these moved recipes (minimums), as they did in the gap workbook. 162 (the lontong entry then used: no copper, potassium, sodium), 165 (three MyFCD satays: no copper, zinc)</t>
  </si>
  <si>
    <t xml:space="preserve">  Reason: the entries first matched for these dishes lacked copper, phosphorus, potassium and sodium, which had to be borrowed from Malaysian and US dishes; a TKPI recipe gives all 21 nutrients from one construction.</t>
  </si>
  <si>
    <t xml:space="preserve">  and one row per cell in Nutrient Fill, with the value it had in indonesia_fct_complete.csv (verified equal). Their bdd stays share-weighted as before the move; the five prepared dishes rebuilt here (142, 157, 160, 166, 167) use bdd 100.</t>
  </si>
  <si>
    <t xml:space="preserve">  but its fortification (iron 53 mg, calcium 860 mg per 100 g) is far above the Indonesian product, so at that stage it was not used beyond copper. A recipe is not meaningful for a fortified manufactured food.</t>
  </si>
  <si>
    <t>171177; 174158</t>
  </si>
  <si>
    <t>28  the entries first matched for seven prepared foods and drinks (142, 149, 157, 160, 166, 167, 177) carried no copper, phosphorus, potassium or sodium column; the seven items are now built entirely from TKPI recipes and USDA entries</t>
  </si>
  <si>
    <t>AP001; HR002; KR012; NR007; NR008; NR014; DR044; DR161; MP006; 746775</t>
  </si>
  <si>
    <t>AP001; KP004; 174158; HR002; DR123; DR097; DR130; KR012; NR007; NR008; NR014; NR019; NR022; 746775</t>
  </si>
  <si>
    <t>AP022; 174158; FR005; FR026; BP070; DR141; DR148; HR002; KR012; NP005; NP009; NR008; NR007; DR147; 746775</t>
  </si>
  <si>
    <t>CR014; KP004; MP006; MP007; NR018; 174158</t>
  </si>
  <si>
    <t>FDC 170969 (NDB 3194)</t>
  </si>
  <si>
    <t>FDC 171888 (NDB 14199); FDC 174852 (NDB 14148); FDC 173205 (NDB 14144)</t>
  </si>
  <si>
    <t>Fortified rice infant cereal, dry, analysed, full panel; chosen for coverage. Its fortification (iron 53, calcium 860 mg per 100 g) is that of a US product and is likely well above Indonesian infant cereals, so the fortified nutrients describe a US product. bdd stays 100.</t>
  </si>
  <si>
    <t>Items 142, 149, 157, 160, 166, 167 and 177 (prepared foods and drinks) have no entry in any origin table read by the pipeline; every cell of theirs comes from this file: recipes of TKPI 2020 raw ingredients with USDA table salt or water (142, 157, 160, 166), a recipe of USDA dry ramen noodle and water (167), or USDA SR Legacy entries (149, 177).</t>
  </si>
  <si>
    <t>NR014; DR161; MP007; KR012; NR008; NR007; 746775</t>
  </si>
  <si>
    <t>REVISIONS TO THE FIVE PREPARED-DISH RECIPES (142, 157, 160, 166, 167)</t>
  </si>
  <si>
    <t>USDA SR Legacy reports no edible-portion figure; the dry cereal powder is consumed whole, so bdd = 100.</t>
  </si>
  <si>
    <t>bdd 100: product consumed whole; USDA SR Legacy reports no edible-portion figure</t>
  </si>
  <si>
    <t>borrowed (USDA)   copper for the prepared dishes (142 hot pepper sauce SR 174527; 149 rice infant cereal SR 170969; 157 boiled mung bean SR 174257; 160 fried rice FNDDS 2708952;</t>
  </si>
  <si>
    <t>compressed rice cake: cooked rice stands in for lontong (no lontong entry with the full nutrient panel is available)</t>
  </si>
  <si>
    <t>cooked rice stands in for lontong (no lontong entry with the full nutrient panel is available)</t>
  </si>
  <si>
    <t>recipe of TKPI 2020 raw ingredients with USDA table salt (sheet Recipes); all 21 nutrients from one construction</t>
  </si>
  <si>
    <t>recipe of TKPI 2020 raw ingredients with USDA water (sheet Recipes); all 21 nutrients from one construction</t>
  </si>
  <si>
    <t>recipe of TKPI 2020 raw ingredients with USDA water and table salt (sheet Recipes); all 21 nutrients from one construction</t>
  </si>
  <si>
    <t>recipe of USDA SR Legacy 171177 dry ramen noodle and USDA water (sheet Recipes): the prepared noodle as eaten; all 21 nutrients from one construction</t>
  </si>
  <si>
    <t>tkpi, usda</t>
  </si>
  <si>
    <t>usda</t>
  </si>
  <si>
    <t>whole item from USDA SR Legacy: mean of three packaged drinks, 171888 sweetened bottled black tea, 174852 regular cola, 173205 lemon-lime soda</t>
  </si>
  <si>
    <t>whole item from one analysed USDA SR Legacy entry, 170969 Babyfood, cereal, rice, dry fortified (full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</si>
</sst>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b/>
      <sz val="11"/>
      <name val="Calibri"/>
      <family val="2"/>
    </font>
    <font>
      <b/>
      <sz val="11"/>
      <name val="Calibri"/>
      <family val="2"/>
    </font>
    <font>
      <sz val="11"/>
      <name val="Calibri"/>
      <family val="2"/>
    </font>
    <font>
      <b/>
      <sz val="11"/>
      <color rgb="FFC00000"/>
      <name val="Calibri"/>
      <family val="2"/>
    </font>
    <font>
      <b/>
      <sz val="11"/>
      <color theme="0"/>
      <name val="Calibri"/>
      <family val="2"/>
    </font>
    <font>
      <b/>
      <sz val="11"/>
      <color rgb="FFC00000"/>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1F4E79"/>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top"/>
    </xf>
    <xf numFmtId="0" fontId="1" fillId="2" borderId="0" xfId="0" applyFont="1" applyFill="1" applyAlignment="1">
      <alignment vertical="center"/>
    </xf>
    <xf numFmtId="0" fontId="1" fillId="2" borderId="0" xfId="0" applyFont="1" applyFill="1" applyAlignment="1">
      <alignment vertical="top"/>
    </xf>
    <xf numFmtId="0" fontId="2" fillId="0" borderId="0" xfId="0" applyFont="1" applyAlignment="1">
      <alignment vertical="top"/>
    </xf>
    <xf numFmtId="0" fontId="3" fillId="0" borderId="0" xfId="0" applyFont="1"/>
    <xf numFmtId="0" fontId="3" fillId="0" borderId="0" xfId="0" applyFont="1" applyAlignment="1">
      <alignment vertical="top"/>
    </xf>
    <xf numFmtId="0" fontId="4" fillId="0" borderId="0" xfId="0" applyFont="1"/>
    <xf numFmtId="0" fontId="5" fillId="0" borderId="0" xfId="0" applyFont="1"/>
    <xf numFmtId="0" fontId="1" fillId="3" borderId="0" xfId="0" applyFont="1" applyFill="1" applyAlignment="1">
      <alignment vertical="top"/>
    </xf>
    <xf numFmtId="0" fontId="6" fillId="3" borderId="0" xfId="0" applyFont="1" applyFill="1"/>
    <xf numFmtId="0" fontId="0" fillId="0" borderId="0" xfId="0" applyAlignment="1">
      <alignment vertical="top" wrapText="1"/>
    </xf>
    <xf numFmtId="0" fontId="7"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70"/>
  <sheetViews>
    <sheetView zoomScale="110" zoomScaleNormal="110" workbookViewId="0">
      <pane xSplit="2" ySplit="1" topLeftCell="E129" activePane="bottomRight" state="frozen"/>
      <selection pane="topRight"/>
      <selection pane="bottomLeft"/>
      <selection pane="bottomRight" activeCell="F1" sqref="F1:F1048576"/>
    </sheetView>
  </sheetViews>
  <sheetFormatPr baseColWidth="10" defaultColWidth="8.83203125" defaultRowHeight="15" x14ac:dyDescent="0.2"/>
  <cols>
    <col min="1" max="1" width="14.1640625" bestFit="1" customWidth="1"/>
    <col min="2" max="2" width="47.83203125" bestFit="1" customWidth="1"/>
    <col min="3" max="3" width="21.83203125" bestFit="1" customWidth="1"/>
    <col min="4" max="4" width="11.6640625" bestFit="1" customWidth="1"/>
    <col min="5" max="5" width="165.6640625" bestFit="1" customWidth="1"/>
    <col min="6" max="6" width="15.83203125" bestFit="1" customWidth="1"/>
    <col min="7" max="7" width="12" bestFit="1" customWidth="1"/>
    <col min="8" max="8" width="6.83203125" bestFit="1" customWidth="1"/>
    <col min="9" max="9" width="8.1640625" bestFit="1" customWidth="1"/>
    <col min="10" max="10" width="17.6640625" bestFit="1" customWidth="1"/>
    <col min="11" max="11" width="12.1640625" bestFit="1" customWidth="1"/>
    <col min="12" max="12" width="114.83203125" bestFit="1" customWidth="1"/>
    <col min="13" max="13" width="152.33203125" bestFit="1" customWidth="1"/>
    <col min="14" max="14" width="113.6640625" bestFit="1" customWidth="1"/>
    <col min="15" max="15" width="49.33203125" bestFit="1" customWidth="1"/>
    <col min="16" max="16" width="12.83203125" bestFit="1" customWidth="1"/>
    <col min="17" max="17" width="27.1640625" bestFit="1" customWidth="1"/>
    <col min="18" max="18" width="79.83203125" bestFit="1" customWidth="1"/>
    <col min="19" max="19" width="107.33203125" bestFit="1" customWidth="1"/>
    <col min="20" max="20" width="87.5" bestFit="1" customWidth="1"/>
    <col min="21" max="21" width="145" bestFit="1" customWidth="1"/>
    <col min="22" max="22" width="255.83203125" bestFit="1" customWidth="1"/>
    <col min="23" max="23" width="8.83203125" customWidth="1"/>
  </cols>
  <sheetData>
    <row r="1" spans="1:22" x14ac:dyDescent="0.2">
      <c r="A1" s="2" t="s">
        <v>1</v>
      </c>
      <c r="B1" s="2" t="s">
        <v>2</v>
      </c>
      <c r="C1" s="2" t="s">
        <v>3</v>
      </c>
      <c r="D1" s="2" t="s">
        <v>383</v>
      </c>
      <c r="E1" s="2" t="s">
        <v>384</v>
      </c>
      <c r="F1" s="2" t="s">
        <v>385</v>
      </c>
      <c r="G1" s="2" t="s">
        <v>386</v>
      </c>
      <c r="H1" s="2" t="s">
        <v>387</v>
      </c>
      <c r="I1" s="2" t="s">
        <v>388</v>
      </c>
      <c r="J1" s="2" t="s">
        <v>389</v>
      </c>
      <c r="K1" s="2" t="s">
        <v>390</v>
      </c>
      <c r="L1" s="3" t="s">
        <v>391</v>
      </c>
      <c r="M1" s="2" t="s">
        <v>392</v>
      </c>
      <c r="N1" s="3" t="s">
        <v>393</v>
      </c>
      <c r="O1" s="2" t="s">
        <v>394</v>
      </c>
      <c r="P1" s="2" t="s">
        <v>395</v>
      </c>
      <c r="Q1" s="2" t="s">
        <v>396</v>
      </c>
      <c r="R1" s="9" t="s">
        <v>397</v>
      </c>
      <c r="S1" s="10" t="s">
        <v>398</v>
      </c>
      <c r="T1" s="10" t="s">
        <v>399</v>
      </c>
      <c r="U1" s="3" t="s">
        <v>400</v>
      </c>
      <c r="V1" s="3" t="s">
        <v>401</v>
      </c>
    </row>
    <row r="2" spans="1:22" x14ac:dyDescent="0.2">
      <c r="A2" s="1">
        <v>5</v>
      </c>
      <c r="B2" s="1" t="s">
        <v>37</v>
      </c>
      <c r="C2" s="1" t="s">
        <v>27</v>
      </c>
      <c r="D2" s="1" t="s">
        <v>31</v>
      </c>
      <c r="E2" s="1" t="s">
        <v>402</v>
      </c>
      <c r="F2" s="1">
        <v>28</v>
      </c>
      <c r="G2" s="1" t="s">
        <v>13</v>
      </c>
      <c r="H2" s="1" t="s">
        <v>403</v>
      </c>
      <c r="I2" s="1" t="s">
        <v>404</v>
      </c>
      <c r="J2" s="1" t="s">
        <v>405</v>
      </c>
      <c r="K2" s="1">
        <v>0</v>
      </c>
      <c r="L2" s="1" t="s">
        <v>406</v>
      </c>
      <c r="M2" s="1" t="s">
        <v>407</v>
      </c>
      <c r="N2" s="1" t="s">
        <v>408</v>
      </c>
      <c r="O2" s="1" t="s">
        <v>409</v>
      </c>
      <c r="P2" s="1" t="s">
        <v>403</v>
      </c>
      <c r="Q2" s="1">
        <v>1</v>
      </c>
      <c r="R2" s="1" t="s">
        <v>410</v>
      </c>
      <c r="S2" s="1" t="s">
        <v>411</v>
      </c>
      <c r="T2" s="1" t="s">
        <v>412</v>
      </c>
      <c r="U2" s="1" t="s">
        <v>413</v>
      </c>
      <c r="V2" s="1" t="s">
        <v>414</v>
      </c>
    </row>
    <row r="3" spans="1:22" ht="16" customHeight="1" x14ac:dyDescent="0.2">
      <c r="A3">
        <v>5</v>
      </c>
      <c r="B3" t="s">
        <v>37</v>
      </c>
      <c r="C3" t="s">
        <v>27</v>
      </c>
      <c r="D3" t="s">
        <v>31</v>
      </c>
      <c r="E3" t="s">
        <v>402</v>
      </c>
      <c r="F3">
        <v>28</v>
      </c>
      <c r="G3" t="s">
        <v>9</v>
      </c>
      <c r="H3" t="s">
        <v>415</v>
      </c>
      <c r="I3" t="s">
        <v>404</v>
      </c>
      <c r="J3" t="s">
        <v>405</v>
      </c>
      <c r="K3">
        <v>0</v>
      </c>
      <c r="L3" s="11" t="s">
        <v>406</v>
      </c>
      <c r="M3" t="s">
        <v>416</v>
      </c>
      <c r="N3" s="11" t="s">
        <v>417</v>
      </c>
      <c r="O3" t="s">
        <v>418</v>
      </c>
      <c r="P3" t="s">
        <v>415</v>
      </c>
      <c r="Q3">
        <v>1</v>
      </c>
      <c r="R3" s="11" t="s">
        <v>406</v>
      </c>
      <c r="S3" s="11" t="s">
        <v>406</v>
      </c>
      <c r="T3" s="11" t="s">
        <v>406</v>
      </c>
      <c r="U3" s="11" t="s">
        <v>419</v>
      </c>
      <c r="V3" s="11" t="s">
        <v>420</v>
      </c>
    </row>
    <row r="4" spans="1:22" x14ac:dyDescent="0.2">
      <c r="A4" s="1">
        <v>14</v>
      </c>
      <c r="B4" s="1" t="s">
        <v>53</v>
      </c>
      <c r="C4" s="1" t="s">
        <v>42</v>
      </c>
      <c r="D4" s="1" t="s">
        <v>31</v>
      </c>
      <c r="E4" s="1" t="s">
        <v>421</v>
      </c>
      <c r="F4" s="1">
        <v>0</v>
      </c>
      <c r="G4" s="1" t="s">
        <v>13</v>
      </c>
      <c r="H4" s="1" t="s">
        <v>403</v>
      </c>
      <c r="I4" s="1" t="s">
        <v>404</v>
      </c>
      <c r="J4" s="1" t="s">
        <v>405</v>
      </c>
      <c r="K4" s="1">
        <v>0</v>
      </c>
      <c r="L4" s="1" t="s">
        <v>406</v>
      </c>
      <c r="M4" s="1" t="s">
        <v>407</v>
      </c>
      <c r="N4" s="1" t="s">
        <v>408</v>
      </c>
      <c r="O4" s="1" t="s">
        <v>409</v>
      </c>
      <c r="P4" s="1" t="s">
        <v>403</v>
      </c>
      <c r="Q4" s="1">
        <v>1</v>
      </c>
      <c r="R4" s="1" t="s">
        <v>410</v>
      </c>
      <c r="S4" s="1" t="s">
        <v>411</v>
      </c>
      <c r="T4" s="1" t="s">
        <v>412</v>
      </c>
      <c r="U4" s="1" t="s">
        <v>413</v>
      </c>
      <c r="V4" s="1" t="s">
        <v>414</v>
      </c>
    </row>
    <row r="5" spans="1:22" ht="16" customHeight="1" x14ac:dyDescent="0.2">
      <c r="A5">
        <v>14</v>
      </c>
      <c r="B5" t="s">
        <v>53</v>
      </c>
      <c r="C5" t="s">
        <v>42</v>
      </c>
      <c r="D5" t="s">
        <v>31</v>
      </c>
      <c r="E5" t="s">
        <v>421</v>
      </c>
      <c r="F5">
        <v>0</v>
      </c>
      <c r="G5" t="s">
        <v>9</v>
      </c>
      <c r="H5" t="s">
        <v>415</v>
      </c>
      <c r="I5" t="s">
        <v>404</v>
      </c>
      <c r="J5" t="s">
        <v>405</v>
      </c>
      <c r="K5">
        <v>0</v>
      </c>
      <c r="L5" s="11" t="s">
        <v>406</v>
      </c>
      <c r="M5" t="s">
        <v>416</v>
      </c>
      <c r="N5" s="11" t="s">
        <v>417</v>
      </c>
      <c r="O5" t="s">
        <v>418</v>
      </c>
      <c r="P5" t="s">
        <v>415</v>
      </c>
      <c r="Q5">
        <v>1</v>
      </c>
      <c r="R5" s="11" t="s">
        <v>406</v>
      </c>
      <c r="S5" s="11" t="s">
        <v>406</v>
      </c>
      <c r="T5" s="11" t="s">
        <v>406</v>
      </c>
      <c r="U5" s="11" t="s">
        <v>419</v>
      </c>
      <c r="V5" s="11" t="s">
        <v>420</v>
      </c>
    </row>
    <row r="6" spans="1:22" x14ac:dyDescent="0.2">
      <c r="A6" s="1">
        <v>64</v>
      </c>
      <c r="B6" s="1" t="s">
        <v>150</v>
      </c>
      <c r="C6" s="1" t="s">
        <v>146</v>
      </c>
      <c r="D6" s="1" t="s">
        <v>31</v>
      </c>
      <c r="E6" s="1" t="s">
        <v>422</v>
      </c>
      <c r="F6" s="1">
        <v>183</v>
      </c>
      <c r="G6" s="1" t="s">
        <v>18</v>
      </c>
      <c r="H6" s="1" t="s">
        <v>423</v>
      </c>
      <c r="I6" s="1" t="s">
        <v>404</v>
      </c>
      <c r="J6" s="1" t="s">
        <v>424</v>
      </c>
      <c r="K6" s="1">
        <v>0</v>
      </c>
      <c r="L6" s="1" t="s">
        <v>425</v>
      </c>
      <c r="M6" s="1" t="s">
        <v>426</v>
      </c>
      <c r="N6" s="1" t="s">
        <v>427</v>
      </c>
      <c r="O6" s="1">
        <v>0</v>
      </c>
      <c r="P6" s="1" t="s">
        <v>423</v>
      </c>
      <c r="Q6" s="1">
        <v>1</v>
      </c>
      <c r="R6" s="1" t="s">
        <v>428</v>
      </c>
      <c r="S6" s="1" t="s">
        <v>406</v>
      </c>
      <c r="T6" s="1" t="s">
        <v>406</v>
      </c>
      <c r="U6" s="1" t="s">
        <v>429</v>
      </c>
      <c r="V6" s="1" t="s">
        <v>430</v>
      </c>
    </row>
    <row r="7" spans="1:22" ht="16" customHeight="1" x14ac:dyDescent="0.2">
      <c r="A7">
        <v>64</v>
      </c>
      <c r="B7" t="s">
        <v>150</v>
      </c>
      <c r="C7" t="s">
        <v>146</v>
      </c>
      <c r="D7" t="s">
        <v>31</v>
      </c>
      <c r="E7" t="s">
        <v>422</v>
      </c>
      <c r="F7">
        <v>183</v>
      </c>
      <c r="G7" t="s">
        <v>9</v>
      </c>
      <c r="H7" t="s">
        <v>415</v>
      </c>
      <c r="I7" t="s">
        <v>404</v>
      </c>
      <c r="J7" t="s">
        <v>405</v>
      </c>
      <c r="K7">
        <v>0</v>
      </c>
      <c r="L7" s="11" t="s">
        <v>406</v>
      </c>
      <c r="M7" t="s">
        <v>416</v>
      </c>
      <c r="N7" s="11" t="s">
        <v>417</v>
      </c>
      <c r="O7" t="s">
        <v>418</v>
      </c>
      <c r="P7" t="s">
        <v>415</v>
      </c>
      <c r="Q7">
        <v>1</v>
      </c>
      <c r="R7" s="11" t="s">
        <v>406</v>
      </c>
      <c r="S7" s="11" t="s">
        <v>406</v>
      </c>
      <c r="T7" s="11" t="s">
        <v>406</v>
      </c>
      <c r="U7" s="11" t="s">
        <v>419</v>
      </c>
      <c r="V7" s="11" t="s">
        <v>420</v>
      </c>
    </row>
    <row r="8" spans="1:22" x14ac:dyDescent="0.2">
      <c r="A8" s="1">
        <v>65</v>
      </c>
      <c r="B8" s="1" t="s">
        <v>152</v>
      </c>
      <c r="C8" s="1" t="s">
        <v>146</v>
      </c>
      <c r="D8" s="1" t="s">
        <v>31</v>
      </c>
      <c r="E8" s="1" t="s">
        <v>431</v>
      </c>
      <c r="F8" s="1">
        <v>15</v>
      </c>
      <c r="G8" s="1" t="s">
        <v>18</v>
      </c>
      <c r="H8" s="1" t="s">
        <v>423</v>
      </c>
      <c r="I8" s="1" t="s">
        <v>404</v>
      </c>
      <c r="J8" s="1" t="s">
        <v>424</v>
      </c>
      <c r="K8" s="1">
        <v>0</v>
      </c>
      <c r="L8" s="1" t="s">
        <v>425</v>
      </c>
      <c r="M8" s="1" t="s">
        <v>432</v>
      </c>
      <c r="N8" s="1" t="s">
        <v>433</v>
      </c>
      <c r="O8" s="1">
        <v>0</v>
      </c>
      <c r="P8" s="1" t="s">
        <v>423</v>
      </c>
      <c r="Q8" s="1">
        <v>1</v>
      </c>
      <c r="R8" s="1" t="s">
        <v>434</v>
      </c>
      <c r="S8" s="1" t="s">
        <v>406</v>
      </c>
      <c r="T8" s="1" t="s">
        <v>406</v>
      </c>
      <c r="U8" s="1" t="s">
        <v>429</v>
      </c>
      <c r="V8" s="1" t="s">
        <v>435</v>
      </c>
    </row>
    <row r="9" spans="1:22" ht="16" customHeight="1" x14ac:dyDescent="0.2">
      <c r="A9">
        <v>65</v>
      </c>
      <c r="B9" t="s">
        <v>152</v>
      </c>
      <c r="C9" t="s">
        <v>146</v>
      </c>
      <c r="D9" t="s">
        <v>31</v>
      </c>
      <c r="E9" t="s">
        <v>431</v>
      </c>
      <c r="F9">
        <v>15</v>
      </c>
      <c r="G9" t="s">
        <v>9</v>
      </c>
      <c r="H9" t="s">
        <v>415</v>
      </c>
      <c r="I9" t="s">
        <v>404</v>
      </c>
      <c r="J9" t="s">
        <v>405</v>
      </c>
      <c r="K9">
        <v>0</v>
      </c>
      <c r="L9" s="11" t="s">
        <v>406</v>
      </c>
      <c r="M9" t="s">
        <v>416</v>
      </c>
      <c r="N9" s="11" t="s">
        <v>417</v>
      </c>
      <c r="O9" t="s">
        <v>418</v>
      </c>
      <c r="P9" t="s">
        <v>415</v>
      </c>
      <c r="Q9">
        <v>1</v>
      </c>
      <c r="R9" s="11" t="s">
        <v>406</v>
      </c>
      <c r="S9" s="11" t="s">
        <v>406</v>
      </c>
      <c r="T9" s="11" t="s">
        <v>406</v>
      </c>
      <c r="U9" s="11" t="s">
        <v>419</v>
      </c>
      <c r="V9" s="11" t="s">
        <v>420</v>
      </c>
    </row>
    <row r="10" spans="1:22" x14ac:dyDescent="0.2">
      <c r="A10" s="1">
        <v>74</v>
      </c>
      <c r="B10" s="1" t="s">
        <v>169</v>
      </c>
      <c r="C10" s="1" t="s">
        <v>165</v>
      </c>
      <c r="D10" s="1" t="s">
        <v>31</v>
      </c>
      <c r="E10" s="1" t="s">
        <v>436</v>
      </c>
      <c r="F10" s="1">
        <v>3533</v>
      </c>
      <c r="G10" s="1" t="s">
        <v>13</v>
      </c>
      <c r="H10" s="1" t="s">
        <v>403</v>
      </c>
      <c r="I10" s="1" t="s">
        <v>404</v>
      </c>
      <c r="J10" s="1" t="s">
        <v>405</v>
      </c>
      <c r="K10" s="1">
        <v>0</v>
      </c>
      <c r="L10" s="1" t="s">
        <v>406</v>
      </c>
      <c r="M10" s="1" t="s">
        <v>407</v>
      </c>
      <c r="N10" s="1" t="s">
        <v>408</v>
      </c>
      <c r="O10" s="1" t="s">
        <v>409</v>
      </c>
      <c r="P10" s="1" t="s">
        <v>403</v>
      </c>
      <c r="Q10" s="1">
        <v>1</v>
      </c>
      <c r="R10" s="1" t="s">
        <v>410</v>
      </c>
      <c r="S10" s="1" t="s">
        <v>411</v>
      </c>
      <c r="T10" s="1" t="s">
        <v>412</v>
      </c>
      <c r="U10" s="1" t="s">
        <v>413</v>
      </c>
      <c r="V10" s="1" t="s">
        <v>414</v>
      </c>
    </row>
    <row r="11" spans="1:22" ht="16" customHeight="1" x14ac:dyDescent="0.2">
      <c r="A11">
        <v>74</v>
      </c>
      <c r="B11" t="s">
        <v>169</v>
      </c>
      <c r="C11" t="s">
        <v>165</v>
      </c>
      <c r="D11" t="s">
        <v>31</v>
      </c>
      <c r="E11" t="s">
        <v>436</v>
      </c>
      <c r="F11">
        <v>3533</v>
      </c>
      <c r="G11" t="s">
        <v>9</v>
      </c>
      <c r="H11" t="s">
        <v>415</v>
      </c>
      <c r="I11" t="s">
        <v>404</v>
      </c>
      <c r="J11" t="s">
        <v>405</v>
      </c>
      <c r="K11">
        <v>0</v>
      </c>
      <c r="L11" s="11" t="s">
        <v>406</v>
      </c>
      <c r="M11" t="s">
        <v>416</v>
      </c>
      <c r="N11" s="11" t="s">
        <v>417</v>
      </c>
      <c r="O11" t="s">
        <v>418</v>
      </c>
      <c r="P11" t="s">
        <v>415</v>
      </c>
      <c r="Q11">
        <v>1</v>
      </c>
      <c r="R11" s="11" t="s">
        <v>406</v>
      </c>
      <c r="S11" s="11" t="s">
        <v>406</v>
      </c>
      <c r="T11" s="11" t="s">
        <v>406</v>
      </c>
      <c r="U11" s="11" t="s">
        <v>419</v>
      </c>
      <c r="V11" s="11" t="s">
        <v>420</v>
      </c>
    </row>
    <row r="12" spans="1:22" x14ac:dyDescent="0.2">
      <c r="A12" s="1">
        <v>75</v>
      </c>
      <c r="B12" s="1" t="s">
        <v>171</v>
      </c>
      <c r="C12" s="1" t="s">
        <v>165</v>
      </c>
      <c r="D12" s="1" t="s">
        <v>31</v>
      </c>
      <c r="E12" s="1" t="s">
        <v>437</v>
      </c>
      <c r="F12" s="1">
        <v>218</v>
      </c>
      <c r="G12" s="1" t="s">
        <v>13</v>
      </c>
      <c r="H12" s="1" t="s">
        <v>403</v>
      </c>
      <c r="I12" s="1" t="s">
        <v>404</v>
      </c>
      <c r="J12" s="1" t="s">
        <v>405</v>
      </c>
      <c r="K12" s="1">
        <v>0</v>
      </c>
      <c r="L12" s="1" t="s">
        <v>406</v>
      </c>
      <c r="M12" s="1" t="s">
        <v>407</v>
      </c>
      <c r="N12" s="1" t="s">
        <v>408</v>
      </c>
      <c r="O12" s="1" t="s">
        <v>409</v>
      </c>
      <c r="P12" s="1" t="s">
        <v>403</v>
      </c>
      <c r="Q12" s="1">
        <v>1</v>
      </c>
      <c r="R12" s="1" t="s">
        <v>410</v>
      </c>
      <c r="S12" s="1" t="s">
        <v>411</v>
      </c>
      <c r="T12" s="1" t="s">
        <v>412</v>
      </c>
      <c r="U12" s="1" t="s">
        <v>413</v>
      </c>
      <c r="V12" s="1" t="s">
        <v>414</v>
      </c>
    </row>
    <row r="13" spans="1:22" ht="16" customHeight="1" x14ac:dyDescent="0.2">
      <c r="A13">
        <v>75</v>
      </c>
      <c r="B13" t="s">
        <v>171</v>
      </c>
      <c r="C13" t="s">
        <v>165</v>
      </c>
      <c r="D13" t="s">
        <v>31</v>
      </c>
      <c r="E13" t="s">
        <v>437</v>
      </c>
      <c r="F13">
        <v>218</v>
      </c>
      <c r="G13" t="s">
        <v>9</v>
      </c>
      <c r="H13" t="s">
        <v>415</v>
      </c>
      <c r="I13" t="s">
        <v>404</v>
      </c>
      <c r="J13" t="s">
        <v>405</v>
      </c>
      <c r="K13">
        <v>0</v>
      </c>
      <c r="L13" s="11" t="s">
        <v>406</v>
      </c>
      <c r="M13" t="s">
        <v>416</v>
      </c>
      <c r="N13" s="11" t="s">
        <v>417</v>
      </c>
      <c r="O13" t="s">
        <v>418</v>
      </c>
      <c r="P13" t="s">
        <v>415</v>
      </c>
      <c r="Q13">
        <v>1</v>
      </c>
      <c r="R13" s="11" t="s">
        <v>406</v>
      </c>
      <c r="S13" s="11" t="s">
        <v>406</v>
      </c>
      <c r="T13" s="11" t="s">
        <v>406</v>
      </c>
      <c r="U13" s="11" t="s">
        <v>419</v>
      </c>
      <c r="V13" s="11" t="s">
        <v>420</v>
      </c>
    </row>
    <row r="14" spans="1:22" x14ac:dyDescent="0.2">
      <c r="A14" s="1">
        <v>80</v>
      </c>
      <c r="B14" s="1" t="s">
        <v>181</v>
      </c>
      <c r="C14" s="1" t="s">
        <v>165</v>
      </c>
      <c r="D14" s="1" t="s">
        <v>31</v>
      </c>
      <c r="E14" s="1" t="s">
        <v>438</v>
      </c>
      <c r="F14" s="1">
        <v>3270</v>
      </c>
      <c r="G14" s="1" t="s">
        <v>13</v>
      </c>
      <c r="H14" s="1" t="s">
        <v>403</v>
      </c>
      <c r="I14" s="1" t="s">
        <v>404</v>
      </c>
      <c r="J14" s="1" t="s">
        <v>405</v>
      </c>
      <c r="K14" s="1">
        <v>0</v>
      </c>
      <c r="L14" s="1" t="s">
        <v>406</v>
      </c>
      <c r="M14" s="1" t="s">
        <v>407</v>
      </c>
      <c r="N14" s="1" t="s">
        <v>408</v>
      </c>
      <c r="O14" s="1" t="s">
        <v>409</v>
      </c>
      <c r="P14" s="1" t="s">
        <v>403</v>
      </c>
      <c r="Q14" s="1">
        <v>1</v>
      </c>
      <c r="R14" s="1" t="s">
        <v>410</v>
      </c>
      <c r="S14" s="1" t="s">
        <v>411</v>
      </c>
      <c r="T14" s="1" t="s">
        <v>412</v>
      </c>
      <c r="U14" s="1" t="s">
        <v>413</v>
      </c>
      <c r="V14" s="1" t="s">
        <v>414</v>
      </c>
    </row>
    <row r="15" spans="1:22" ht="16" customHeight="1" x14ac:dyDescent="0.2">
      <c r="A15">
        <v>80</v>
      </c>
      <c r="B15" t="s">
        <v>181</v>
      </c>
      <c r="C15" t="s">
        <v>165</v>
      </c>
      <c r="D15" t="s">
        <v>31</v>
      </c>
      <c r="E15" t="s">
        <v>438</v>
      </c>
      <c r="F15">
        <v>3270</v>
      </c>
      <c r="G15" t="s">
        <v>9</v>
      </c>
      <c r="H15" t="s">
        <v>415</v>
      </c>
      <c r="I15" t="s">
        <v>404</v>
      </c>
      <c r="J15" t="s">
        <v>405</v>
      </c>
      <c r="K15">
        <v>0</v>
      </c>
      <c r="L15" s="11" t="s">
        <v>406</v>
      </c>
      <c r="M15" t="s">
        <v>416</v>
      </c>
      <c r="N15" s="11" t="s">
        <v>417</v>
      </c>
      <c r="O15" t="s">
        <v>418</v>
      </c>
      <c r="P15" t="s">
        <v>415</v>
      </c>
      <c r="Q15">
        <v>1</v>
      </c>
      <c r="R15" s="11" t="s">
        <v>406</v>
      </c>
      <c r="S15" s="11" t="s">
        <v>406</v>
      </c>
      <c r="T15" s="11" t="s">
        <v>406</v>
      </c>
      <c r="U15" s="11" t="s">
        <v>419</v>
      </c>
      <c r="V15" s="11" t="s">
        <v>420</v>
      </c>
    </row>
    <row r="16" spans="1:22" x14ac:dyDescent="0.2">
      <c r="A16" s="1">
        <v>81</v>
      </c>
      <c r="B16" s="1" t="s">
        <v>183</v>
      </c>
      <c r="C16" s="1" t="s">
        <v>165</v>
      </c>
      <c r="D16" s="1" t="s">
        <v>31</v>
      </c>
      <c r="E16" s="1" t="s">
        <v>439</v>
      </c>
      <c r="F16" s="1">
        <v>315</v>
      </c>
      <c r="G16" s="1" t="s">
        <v>13</v>
      </c>
      <c r="H16" s="1" t="s">
        <v>403</v>
      </c>
      <c r="I16" s="1" t="s">
        <v>404</v>
      </c>
      <c r="J16" s="1" t="s">
        <v>405</v>
      </c>
      <c r="K16" s="1">
        <v>0</v>
      </c>
      <c r="L16" s="1" t="s">
        <v>406</v>
      </c>
      <c r="M16" s="1" t="s">
        <v>407</v>
      </c>
      <c r="N16" s="1" t="s">
        <v>408</v>
      </c>
      <c r="O16" s="1" t="s">
        <v>409</v>
      </c>
      <c r="P16" s="1" t="s">
        <v>403</v>
      </c>
      <c r="Q16" s="1">
        <v>1</v>
      </c>
      <c r="R16" s="1" t="s">
        <v>410</v>
      </c>
      <c r="S16" s="1" t="s">
        <v>411</v>
      </c>
      <c r="T16" s="1" t="s">
        <v>412</v>
      </c>
      <c r="U16" s="1" t="s">
        <v>413</v>
      </c>
      <c r="V16" s="1" t="s">
        <v>414</v>
      </c>
    </row>
    <row r="17" spans="1:22" ht="16" customHeight="1" x14ac:dyDescent="0.2">
      <c r="A17">
        <v>81</v>
      </c>
      <c r="B17" t="s">
        <v>183</v>
      </c>
      <c r="C17" t="s">
        <v>165</v>
      </c>
      <c r="D17" t="s">
        <v>31</v>
      </c>
      <c r="E17" t="s">
        <v>439</v>
      </c>
      <c r="F17">
        <v>315</v>
      </c>
      <c r="G17" t="s">
        <v>9</v>
      </c>
      <c r="H17" t="s">
        <v>415</v>
      </c>
      <c r="I17" t="s">
        <v>404</v>
      </c>
      <c r="J17" t="s">
        <v>405</v>
      </c>
      <c r="K17">
        <v>0</v>
      </c>
      <c r="L17" s="11" t="s">
        <v>406</v>
      </c>
      <c r="M17" t="s">
        <v>416</v>
      </c>
      <c r="N17" s="11" t="s">
        <v>417</v>
      </c>
      <c r="O17" t="s">
        <v>418</v>
      </c>
      <c r="P17" t="s">
        <v>415</v>
      </c>
      <c r="Q17">
        <v>1</v>
      </c>
      <c r="R17" s="11" t="s">
        <v>406</v>
      </c>
      <c r="S17" s="11" t="s">
        <v>406</v>
      </c>
      <c r="T17" s="11" t="s">
        <v>406</v>
      </c>
      <c r="U17" s="11" t="s">
        <v>419</v>
      </c>
      <c r="V17" s="11" t="s">
        <v>420</v>
      </c>
    </row>
    <row r="18" spans="1:22" x14ac:dyDescent="0.2">
      <c r="A18" s="1">
        <v>86</v>
      </c>
      <c r="B18" s="1" t="s">
        <v>193</v>
      </c>
      <c r="C18" s="1" t="s">
        <v>165</v>
      </c>
      <c r="D18" s="1" t="s">
        <v>31</v>
      </c>
      <c r="E18" s="1" t="s">
        <v>440</v>
      </c>
      <c r="F18" s="1">
        <v>298</v>
      </c>
      <c r="G18" s="1" t="s">
        <v>13</v>
      </c>
      <c r="H18" s="1" t="s">
        <v>403</v>
      </c>
      <c r="I18" s="1" t="s">
        <v>404</v>
      </c>
      <c r="J18" s="1" t="s">
        <v>405</v>
      </c>
      <c r="K18" s="1">
        <v>0</v>
      </c>
      <c r="L18" s="1" t="s">
        <v>406</v>
      </c>
      <c r="M18" s="1" t="s">
        <v>407</v>
      </c>
      <c r="N18" s="1" t="s">
        <v>408</v>
      </c>
      <c r="O18" s="1" t="s">
        <v>409</v>
      </c>
      <c r="P18" s="1" t="s">
        <v>403</v>
      </c>
      <c r="Q18" s="1">
        <v>1</v>
      </c>
      <c r="R18" s="1" t="s">
        <v>410</v>
      </c>
      <c r="S18" s="1" t="s">
        <v>411</v>
      </c>
      <c r="T18" s="1" t="s">
        <v>412</v>
      </c>
      <c r="U18" s="1" t="s">
        <v>413</v>
      </c>
      <c r="V18" s="1" t="s">
        <v>414</v>
      </c>
    </row>
    <row r="19" spans="1:22" ht="16" customHeight="1" x14ac:dyDescent="0.2">
      <c r="A19">
        <v>86</v>
      </c>
      <c r="B19" t="s">
        <v>193</v>
      </c>
      <c r="C19" t="s">
        <v>165</v>
      </c>
      <c r="D19" t="s">
        <v>31</v>
      </c>
      <c r="E19" t="s">
        <v>440</v>
      </c>
      <c r="F19">
        <v>298</v>
      </c>
      <c r="G19" t="s">
        <v>9</v>
      </c>
      <c r="H19" t="s">
        <v>415</v>
      </c>
      <c r="I19" t="s">
        <v>404</v>
      </c>
      <c r="J19" t="s">
        <v>405</v>
      </c>
      <c r="K19">
        <v>0</v>
      </c>
      <c r="L19" s="11" t="s">
        <v>406</v>
      </c>
      <c r="M19" t="s">
        <v>416</v>
      </c>
      <c r="N19" s="11" t="s">
        <v>417</v>
      </c>
      <c r="O19" t="s">
        <v>418</v>
      </c>
      <c r="P19" t="s">
        <v>415</v>
      </c>
      <c r="Q19">
        <v>1</v>
      </c>
      <c r="R19" s="11" t="s">
        <v>406</v>
      </c>
      <c r="S19" s="11" t="s">
        <v>406</v>
      </c>
      <c r="T19" s="11" t="s">
        <v>406</v>
      </c>
      <c r="U19" s="11" t="s">
        <v>419</v>
      </c>
      <c r="V19" s="11" t="s">
        <v>420</v>
      </c>
    </row>
    <row r="20" spans="1:22" x14ac:dyDescent="0.2">
      <c r="A20" s="1">
        <v>89</v>
      </c>
      <c r="B20" s="1" t="s">
        <v>199</v>
      </c>
      <c r="C20" s="1" t="s">
        <v>165</v>
      </c>
      <c r="D20" s="1" t="s">
        <v>31</v>
      </c>
      <c r="E20" s="1" t="s">
        <v>441</v>
      </c>
      <c r="F20" s="1">
        <v>267</v>
      </c>
      <c r="G20" s="1" t="s">
        <v>13</v>
      </c>
      <c r="H20" s="1" t="s">
        <v>403</v>
      </c>
      <c r="I20" s="1" t="s">
        <v>404</v>
      </c>
      <c r="J20" s="1" t="s">
        <v>405</v>
      </c>
      <c r="K20" s="1">
        <v>0</v>
      </c>
      <c r="L20" s="1" t="s">
        <v>406</v>
      </c>
      <c r="M20" s="1" t="s">
        <v>407</v>
      </c>
      <c r="N20" s="1" t="s">
        <v>408</v>
      </c>
      <c r="O20" s="1" t="s">
        <v>409</v>
      </c>
      <c r="P20" s="1" t="s">
        <v>403</v>
      </c>
      <c r="Q20" s="1">
        <v>1</v>
      </c>
      <c r="R20" s="1" t="s">
        <v>410</v>
      </c>
      <c r="S20" s="1" t="s">
        <v>411</v>
      </c>
      <c r="T20" s="1" t="s">
        <v>412</v>
      </c>
      <c r="U20" s="1" t="s">
        <v>413</v>
      </c>
      <c r="V20" s="1" t="s">
        <v>414</v>
      </c>
    </row>
    <row r="21" spans="1:22" ht="16" customHeight="1" x14ac:dyDescent="0.2">
      <c r="A21">
        <v>89</v>
      </c>
      <c r="B21" t="s">
        <v>199</v>
      </c>
      <c r="C21" t="s">
        <v>165</v>
      </c>
      <c r="D21" t="s">
        <v>31</v>
      </c>
      <c r="E21" t="s">
        <v>441</v>
      </c>
      <c r="F21">
        <v>267</v>
      </c>
      <c r="G21" t="s">
        <v>9</v>
      </c>
      <c r="H21" t="s">
        <v>415</v>
      </c>
      <c r="I21" t="s">
        <v>404</v>
      </c>
      <c r="J21" t="s">
        <v>405</v>
      </c>
      <c r="K21">
        <v>0</v>
      </c>
      <c r="L21" s="11" t="s">
        <v>406</v>
      </c>
      <c r="M21" t="s">
        <v>416</v>
      </c>
      <c r="N21" s="11" t="s">
        <v>417</v>
      </c>
      <c r="O21" t="s">
        <v>418</v>
      </c>
      <c r="P21" t="s">
        <v>415</v>
      </c>
      <c r="Q21">
        <v>1</v>
      </c>
      <c r="R21" s="11" t="s">
        <v>406</v>
      </c>
      <c r="S21" s="11" t="s">
        <v>406</v>
      </c>
      <c r="T21" s="11" t="s">
        <v>406</v>
      </c>
      <c r="U21" s="11" t="s">
        <v>419</v>
      </c>
      <c r="V21" s="11" t="s">
        <v>420</v>
      </c>
    </row>
    <row r="22" spans="1:22" x14ac:dyDescent="0.2">
      <c r="A22" s="1">
        <v>90</v>
      </c>
      <c r="B22" s="1" t="s">
        <v>201</v>
      </c>
      <c r="C22" s="1" t="s">
        <v>165</v>
      </c>
      <c r="D22" s="1" t="s">
        <v>31</v>
      </c>
      <c r="E22" s="1" t="s">
        <v>442</v>
      </c>
      <c r="F22" s="1">
        <v>435</v>
      </c>
      <c r="G22" s="1" t="s">
        <v>13</v>
      </c>
      <c r="H22" s="1" t="s">
        <v>403</v>
      </c>
      <c r="I22" s="1" t="s">
        <v>404</v>
      </c>
      <c r="J22" s="1" t="s">
        <v>405</v>
      </c>
      <c r="K22" s="1">
        <v>0</v>
      </c>
      <c r="L22" s="1" t="s">
        <v>406</v>
      </c>
      <c r="M22" s="1" t="s">
        <v>407</v>
      </c>
      <c r="N22" s="1" t="s">
        <v>408</v>
      </c>
      <c r="O22" s="1" t="s">
        <v>409</v>
      </c>
      <c r="P22" s="1" t="s">
        <v>403</v>
      </c>
      <c r="Q22" s="1">
        <v>1</v>
      </c>
      <c r="R22" s="1" t="s">
        <v>410</v>
      </c>
      <c r="S22" s="1" t="s">
        <v>411</v>
      </c>
      <c r="T22" s="1" t="s">
        <v>412</v>
      </c>
      <c r="U22" s="1" t="s">
        <v>413</v>
      </c>
      <c r="V22" s="1" t="s">
        <v>414</v>
      </c>
    </row>
    <row r="23" spans="1:22" ht="16" customHeight="1" x14ac:dyDescent="0.2">
      <c r="A23">
        <v>90</v>
      </c>
      <c r="B23" t="s">
        <v>201</v>
      </c>
      <c r="C23" t="s">
        <v>165</v>
      </c>
      <c r="D23" t="s">
        <v>31</v>
      </c>
      <c r="E23" t="s">
        <v>442</v>
      </c>
      <c r="F23">
        <v>435</v>
      </c>
      <c r="G23" t="s">
        <v>9</v>
      </c>
      <c r="H23" t="s">
        <v>415</v>
      </c>
      <c r="I23" t="s">
        <v>404</v>
      </c>
      <c r="J23" t="s">
        <v>405</v>
      </c>
      <c r="K23">
        <v>0</v>
      </c>
      <c r="L23" s="11" t="s">
        <v>406</v>
      </c>
      <c r="M23" t="s">
        <v>416</v>
      </c>
      <c r="N23" s="11" t="s">
        <v>417</v>
      </c>
      <c r="O23" t="s">
        <v>418</v>
      </c>
      <c r="P23" t="s">
        <v>415</v>
      </c>
      <c r="Q23">
        <v>1</v>
      </c>
      <c r="R23" s="11" t="s">
        <v>406</v>
      </c>
      <c r="S23" s="11" t="s">
        <v>406</v>
      </c>
      <c r="T23" s="11" t="s">
        <v>406</v>
      </c>
      <c r="U23" s="11" t="s">
        <v>419</v>
      </c>
      <c r="V23" s="11" t="s">
        <v>420</v>
      </c>
    </row>
    <row r="24" spans="1:22" x14ac:dyDescent="0.2">
      <c r="A24" s="1">
        <v>91</v>
      </c>
      <c r="B24" s="1" t="s">
        <v>203</v>
      </c>
      <c r="C24" s="1" t="s">
        <v>165</v>
      </c>
      <c r="D24" s="1" t="s">
        <v>31</v>
      </c>
      <c r="E24" s="1" t="s">
        <v>443</v>
      </c>
      <c r="F24" s="1">
        <v>9</v>
      </c>
      <c r="G24" s="1" t="s">
        <v>14</v>
      </c>
      <c r="H24" s="1" t="s">
        <v>403</v>
      </c>
      <c r="I24" s="1" t="s">
        <v>404</v>
      </c>
      <c r="J24" s="1" t="s">
        <v>424</v>
      </c>
      <c r="K24" s="1">
        <v>373</v>
      </c>
      <c r="L24" s="1" t="s">
        <v>444</v>
      </c>
      <c r="M24" s="1" t="s">
        <v>445</v>
      </c>
      <c r="N24" s="1" t="s">
        <v>446</v>
      </c>
      <c r="O24" s="1">
        <v>373</v>
      </c>
      <c r="P24" s="1" t="s">
        <v>403</v>
      </c>
      <c r="Q24" s="1">
        <v>1</v>
      </c>
      <c r="R24" s="1" t="s">
        <v>447</v>
      </c>
      <c r="S24" s="1" t="s">
        <v>406</v>
      </c>
      <c r="T24" s="1" t="s">
        <v>406</v>
      </c>
      <c r="U24" s="1" t="s">
        <v>429</v>
      </c>
      <c r="V24" s="1" t="s">
        <v>448</v>
      </c>
    </row>
    <row r="25" spans="1:22" x14ac:dyDescent="0.2">
      <c r="A25" s="1">
        <v>91</v>
      </c>
      <c r="B25" s="1" t="s">
        <v>203</v>
      </c>
      <c r="C25" s="1" t="s">
        <v>165</v>
      </c>
      <c r="D25" s="1" t="s">
        <v>31</v>
      </c>
      <c r="E25" s="1" t="s">
        <v>443</v>
      </c>
      <c r="F25" s="1">
        <v>9</v>
      </c>
      <c r="G25" s="1" t="s">
        <v>13</v>
      </c>
      <c r="H25" s="1" t="s">
        <v>403</v>
      </c>
      <c r="I25" s="1" t="s">
        <v>404</v>
      </c>
      <c r="J25" s="1" t="s">
        <v>405</v>
      </c>
      <c r="K25" s="1">
        <v>0</v>
      </c>
      <c r="L25" s="1" t="s">
        <v>406</v>
      </c>
      <c r="M25" s="1" t="s">
        <v>407</v>
      </c>
      <c r="N25" s="1" t="s">
        <v>408</v>
      </c>
      <c r="O25" s="1" t="s">
        <v>409</v>
      </c>
      <c r="P25" s="1" t="s">
        <v>403</v>
      </c>
      <c r="Q25" s="1">
        <v>1</v>
      </c>
      <c r="R25" s="1" t="s">
        <v>410</v>
      </c>
      <c r="S25" s="1" t="s">
        <v>411</v>
      </c>
      <c r="T25" s="1" t="s">
        <v>412</v>
      </c>
      <c r="U25" s="1" t="s">
        <v>413</v>
      </c>
      <c r="V25" s="1" t="s">
        <v>414</v>
      </c>
    </row>
    <row r="26" spans="1:22" ht="16" customHeight="1" x14ac:dyDescent="0.2">
      <c r="A26">
        <v>91</v>
      </c>
      <c r="B26" t="s">
        <v>203</v>
      </c>
      <c r="C26" t="s">
        <v>165</v>
      </c>
      <c r="D26" t="s">
        <v>31</v>
      </c>
      <c r="E26" t="s">
        <v>443</v>
      </c>
      <c r="F26">
        <v>9</v>
      </c>
      <c r="G26" t="s">
        <v>9</v>
      </c>
      <c r="H26" t="s">
        <v>415</v>
      </c>
      <c r="I26" t="s">
        <v>404</v>
      </c>
      <c r="J26" t="s">
        <v>405</v>
      </c>
      <c r="K26">
        <v>0</v>
      </c>
      <c r="L26" s="11" t="s">
        <v>406</v>
      </c>
      <c r="M26" t="s">
        <v>416</v>
      </c>
      <c r="N26" s="11" t="s">
        <v>417</v>
      </c>
      <c r="O26" t="s">
        <v>418</v>
      </c>
      <c r="P26" t="s">
        <v>415</v>
      </c>
      <c r="Q26">
        <v>1</v>
      </c>
      <c r="R26" s="11" t="s">
        <v>406</v>
      </c>
      <c r="S26" s="11" t="s">
        <v>406</v>
      </c>
      <c r="T26" s="11" t="s">
        <v>406</v>
      </c>
      <c r="U26" s="11" t="s">
        <v>419</v>
      </c>
      <c r="V26" s="11" t="s">
        <v>420</v>
      </c>
    </row>
    <row r="27" spans="1:22" x14ac:dyDescent="0.2">
      <c r="A27" s="1">
        <v>92</v>
      </c>
      <c r="B27" s="1" t="s">
        <v>205</v>
      </c>
      <c r="C27" s="1" t="s">
        <v>165</v>
      </c>
      <c r="D27" s="1" t="s">
        <v>31</v>
      </c>
      <c r="E27" s="1" t="s">
        <v>449</v>
      </c>
      <c r="F27" s="1">
        <v>4995</v>
      </c>
      <c r="G27" s="1" t="s">
        <v>13</v>
      </c>
      <c r="H27" s="1" t="s">
        <v>403</v>
      </c>
      <c r="I27" s="1" t="s">
        <v>404</v>
      </c>
      <c r="J27" s="1" t="s">
        <v>405</v>
      </c>
      <c r="K27" s="1">
        <v>0</v>
      </c>
      <c r="L27" s="1" t="s">
        <v>406</v>
      </c>
      <c r="M27" s="1" t="s">
        <v>407</v>
      </c>
      <c r="N27" s="1" t="s">
        <v>408</v>
      </c>
      <c r="O27" s="1" t="s">
        <v>409</v>
      </c>
      <c r="P27" s="1" t="s">
        <v>403</v>
      </c>
      <c r="Q27" s="1">
        <v>1</v>
      </c>
      <c r="R27" s="1" t="s">
        <v>410</v>
      </c>
      <c r="S27" s="1" t="s">
        <v>411</v>
      </c>
      <c r="T27" s="1" t="s">
        <v>412</v>
      </c>
      <c r="U27" s="1" t="s">
        <v>413</v>
      </c>
      <c r="V27" s="1" t="s">
        <v>414</v>
      </c>
    </row>
    <row r="28" spans="1:22" ht="16" customHeight="1" x14ac:dyDescent="0.2">
      <c r="A28">
        <v>92</v>
      </c>
      <c r="B28" t="s">
        <v>205</v>
      </c>
      <c r="C28" t="s">
        <v>165</v>
      </c>
      <c r="D28" t="s">
        <v>31</v>
      </c>
      <c r="E28" t="s">
        <v>449</v>
      </c>
      <c r="F28">
        <v>4995</v>
      </c>
      <c r="G28" t="s">
        <v>9</v>
      </c>
      <c r="H28" t="s">
        <v>415</v>
      </c>
      <c r="I28" t="s">
        <v>404</v>
      </c>
      <c r="J28" t="s">
        <v>405</v>
      </c>
      <c r="K28">
        <v>0</v>
      </c>
      <c r="L28" s="11" t="s">
        <v>406</v>
      </c>
      <c r="M28" t="s">
        <v>416</v>
      </c>
      <c r="N28" s="11" t="s">
        <v>417</v>
      </c>
      <c r="O28" t="s">
        <v>418</v>
      </c>
      <c r="P28" t="s">
        <v>415</v>
      </c>
      <c r="Q28">
        <v>1</v>
      </c>
      <c r="R28" s="11" t="s">
        <v>406</v>
      </c>
      <c r="S28" s="11" t="s">
        <v>406</v>
      </c>
      <c r="T28" s="11" t="s">
        <v>406</v>
      </c>
      <c r="U28" s="11" t="s">
        <v>419</v>
      </c>
      <c r="V28" s="11" t="s">
        <v>420</v>
      </c>
    </row>
    <row r="29" spans="1:22" x14ac:dyDescent="0.2">
      <c r="A29" s="1">
        <v>93</v>
      </c>
      <c r="B29" s="1" t="s">
        <v>207</v>
      </c>
      <c r="C29" s="1" t="s">
        <v>165</v>
      </c>
      <c r="D29" s="1" t="s">
        <v>31</v>
      </c>
      <c r="E29" s="1" t="s">
        <v>450</v>
      </c>
      <c r="F29" s="1">
        <v>4910</v>
      </c>
      <c r="G29" s="1" t="s">
        <v>13</v>
      </c>
      <c r="H29" s="1" t="s">
        <v>403</v>
      </c>
      <c r="I29" s="1" t="s">
        <v>404</v>
      </c>
      <c r="J29" s="1" t="s">
        <v>405</v>
      </c>
      <c r="K29" s="1">
        <v>0</v>
      </c>
      <c r="L29" s="1" t="s">
        <v>406</v>
      </c>
      <c r="M29" s="1" t="s">
        <v>407</v>
      </c>
      <c r="N29" s="1" t="s">
        <v>408</v>
      </c>
      <c r="O29" s="1" t="s">
        <v>409</v>
      </c>
      <c r="P29" s="1" t="s">
        <v>403</v>
      </c>
      <c r="Q29" s="1">
        <v>1</v>
      </c>
      <c r="R29" s="1" t="s">
        <v>410</v>
      </c>
      <c r="S29" s="1" t="s">
        <v>411</v>
      </c>
      <c r="T29" s="1" t="s">
        <v>412</v>
      </c>
      <c r="U29" s="1" t="s">
        <v>413</v>
      </c>
      <c r="V29" s="1" t="s">
        <v>414</v>
      </c>
    </row>
    <row r="30" spans="1:22" ht="16" customHeight="1" x14ac:dyDescent="0.2">
      <c r="A30">
        <v>93</v>
      </c>
      <c r="B30" t="s">
        <v>207</v>
      </c>
      <c r="C30" t="s">
        <v>165</v>
      </c>
      <c r="D30" t="s">
        <v>31</v>
      </c>
      <c r="E30" t="s">
        <v>450</v>
      </c>
      <c r="F30">
        <v>4910</v>
      </c>
      <c r="G30" t="s">
        <v>9</v>
      </c>
      <c r="H30" t="s">
        <v>415</v>
      </c>
      <c r="I30" t="s">
        <v>404</v>
      </c>
      <c r="J30" t="s">
        <v>405</v>
      </c>
      <c r="K30">
        <v>0</v>
      </c>
      <c r="L30" s="11" t="s">
        <v>406</v>
      </c>
      <c r="M30" t="s">
        <v>416</v>
      </c>
      <c r="N30" s="11" t="s">
        <v>417</v>
      </c>
      <c r="O30" t="s">
        <v>418</v>
      </c>
      <c r="P30" t="s">
        <v>415</v>
      </c>
      <c r="Q30">
        <v>1</v>
      </c>
      <c r="R30" s="11" t="s">
        <v>406</v>
      </c>
      <c r="S30" s="11" t="s">
        <v>406</v>
      </c>
      <c r="T30" s="11" t="s">
        <v>406</v>
      </c>
      <c r="U30" s="11" t="s">
        <v>419</v>
      </c>
      <c r="V30" s="11" t="s">
        <v>420</v>
      </c>
    </row>
    <row r="31" spans="1:22" x14ac:dyDescent="0.2">
      <c r="A31" s="1">
        <v>94</v>
      </c>
      <c r="B31" s="1" t="s">
        <v>209</v>
      </c>
      <c r="C31" s="1" t="s">
        <v>165</v>
      </c>
      <c r="D31" s="1" t="s">
        <v>31</v>
      </c>
      <c r="E31" s="1" t="s">
        <v>451</v>
      </c>
      <c r="F31" s="1">
        <v>2698</v>
      </c>
      <c r="G31" s="1" t="s">
        <v>13</v>
      </c>
      <c r="H31" s="1" t="s">
        <v>403</v>
      </c>
      <c r="I31" s="1" t="s">
        <v>404</v>
      </c>
      <c r="J31" s="1" t="s">
        <v>405</v>
      </c>
      <c r="K31" s="1">
        <v>0</v>
      </c>
      <c r="L31" s="1" t="s">
        <v>406</v>
      </c>
      <c r="M31" s="1" t="s">
        <v>407</v>
      </c>
      <c r="N31" s="1" t="s">
        <v>408</v>
      </c>
      <c r="O31" s="1" t="s">
        <v>409</v>
      </c>
      <c r="P31" s="1" t="s">
        <v>403</v>
      </c>
      <c r="Q31" s="1">
        <v>1</v>
      </c>
      <c r="R31" s="1" t="s">
        <v>410</v>
      </c>
      <c r="S31" s="1" t="s">
        <v>411</v>
      </c>
      <c r="T31" s="1" t="s">
        <v>412</v>
      </c>
      <c r="U31" s="1" t="s">
        <v>413</v>
      </c>
      <c r="V31" s="1" t="s">
        <v>414</v>
      </c>
    </row>
    <row r="32" spans="1:22" ht="16" customHeight="1" x14ac:dyDescent="0.2">
      <c r="A32">
        <v>94</v>
      </c>
      <c r="B32" t="s">
        <v>209</v>
      </c>
      <c r="C32" t="s">
        <v>165</v>
      </c>
      <c r="D32" t="s">
        <v>31</v>
      </c>
      <c r="E32" t="s">
        <v>451</v>
      </c>
      <c r="F32">
        <v>2698</v>
      </c>
      <c r="G32" t="s">
        <v>9</v>
      </c>
      <c r="H32" t="s">
        <v>415</v>
      </c>
      <c r="I32" t="s">
        <v>404</v>
      </c>
      <c r="J32" t="s">
        <v>405</v>
      </c>
      <c r="K32">
        <v>0</v>
      </c>
      <c r="L32" s="11" t="s">
        <v>406</v>
      </c>
      <c r="M32" t="s">
        <v>416</v>
      </c>
      <c r="N32" s="11" t="s">
        <v>417</v>
      </c>
      <c r="O32" t="s">
        <v>418</v>
      </c>
      <c r="P32" t="s">
        <v>415</v>
      </c>
      <c r="Q32">
        <v>1</v>
      </c>
      <c r="R32" s="11" t="s">
        <v>406</v>
      </c>
      <c r="S32" s="11" t="s">
        <v>406</v>
      </c>
      <c r="T32" s="11" t="s">
        <v>406</v>
      </c>
      <c r="U32" s="11" t="s">
        <v>419</v>
      </c>
      <c r="V32" s="11" t="s">
        <v>420</v>
      </c>
    </row>
    <row r="33" spans="1:22" x14ac:dyDescent="0.2">
      <c r="A33" s="1">
        <v>95</v>
      </c>
      <c r="B33" s="1" t="s">
        <v>211</v>
      </c>
      <c r="C33" s="1" t="s">
        <v>165</v>
      </c>
      <c r="D33" s="1" t="s">
        <v>31</v>
      </c>
      <c r="E33" s="1" t="s">
        <v>452</v>
      </c>
      <c r="F33" s="1">
        <v>98</v>
      </c>
      <c r="G33" s="1" t="s">
        <v>13</v>
      </c>
      <c r="H33" s="1" t="s">
        <v>403</v>
      </c>
      <c r="I33" s="1" t="s">
        <v>404</v>
      </c>
      <c r="J33" s="1" t="s">
        <v>405</v>
      </c>
      <c r="K33" s="1">
        <v>0</v>
      </c>
      <c r="L33" s="1" t="s">
        <v>406</v>
      </c>
      <c r="M33" s="1" t="s">
        <v>407</v>
      </c>
      <c r="N33" s="1" t="s">
        <v>408</v>
      </c>
      <c r="O33" s="1" t="s">
        <v>409</v>
      </c>
      <c r="P33" s="1" t="s">
        <v>403</v>
      </c>
      <c r="Q33" s="1">
        <v>1</v>
      </c>
      <c r="R33" s="1" t="s">
        <v>410</v>
      </c>
      <c r="S33" s="1" t="s">
        <v>411</v>
      </c>
      <c r="T33" s="1" t="s">
        <v>412</v>
      </c>
      <c r="U33" s="1" t="s">
        <v>413</v>
      </c>
      <c r="V33" s="1" t="s">
        <v>414</v>
      </c>
    </row>
    <row r="34" spans="1:22" ht="16" customHeight="1" x14ac:dyDescent="0.2">
      <c r="A34">
        <v>95</v>
      </c>
      <c r="B34" t="s">
        <v>211</v>
      </c>
      <c r="C34" t="s">
        <v>165</v>
      </c>
      <c r="D34" t="s">
        <v>31</v>
      </c>
      <c r="E34" t="s">
        <v>452</v>
      </c>
      <c r="F34">
        <v>98</v>
      </c>
      <c r="G34" t="s">
        <v>9</v>
      </c>
      <c r="H34" t="s">
        <v>415</v>
      </c>
      <c r="I34" t="s">
        <v>404</v>
      </c>
      <c r="J34" t="s">
        <v>405</v>
      </c>
      <c r="K34">
        <v>0</v>
      </c>
      <c r="L34" s="11" t="s">
        <v>406</v>
      </c>
      <c r="M34" t="s">
        <v>416</v>
      </c>
      <c r="N34" s="11" t="s">
        <v>417</v>
      </c>
      <c r="O34" t="s">
        <v>418</v>
      </c>
      <c r="P34" t="s">
        <v>415</v>
      </c>
      <c r="Q34">
        <v>1</v>
      </c>
      <c r="R34" s="11" t="s">
        <v>406</v>
      </c>
      <c r="S34" s="11" t="s">
        <v>406</v>
      </c>
      <c r="T34" s="11" t="s">
        <v>406</v>
      </c>
      <c r="U34" s="11" t="s">
        <v>419</v>
      </c>
      <c r="V34" s="11" t="s">
        <v>420</v>
      </c>
    </row>
    <row r="35" spans="1:22" x14ac:dyDescent="0.2">
      <c r="A35" s="1">
        <v>96</v>
      </c>
      <c r="B35" s="1" t="s">
        <v>213</v>
      </c>
      <c r="C35" s="1" t="s">
        <v>165</v>
      </c>
      <c r="D35" s="1" t="s">
        <v>31</v>
      </c>
      <c r="E35" s="1" t="s">
        <v>453</v>
      </c>
      <c r="F35" s="1">
        <v>3647</v>
      </c>
      <c r="G35" s="1" t="s">
        <v>13</v>
      </c>
      <c r="H35" s="1" t="s">
        <v>403</v>
      </c>
      <c r="I35" s="1" t="s">
        <v>404</v>
      </c>
      <c r="J35" s="1" t="s">
        <v>405</v>
      </c>
      <c r="K35" s="1">
        <v>0</v>
      </c>
      <c r="L35" s="1" t="s">
        <v>406</v>
      </c>
      <c r="M35" s="1" t="s">
        <v>407</v>
      </c>
      <c r="N35" s="1" t="s">
        <v>408</v>
      </c>
      <c r="O35" s="1" t="s">
        <v>409</v>
      </c>
      <c r="P35" s="1" t="s">
        <v>403</v>
      </c>
      <c r="Q35" s="1">
        <v>1</v>
      </c>
      <c r="R35" s="1" t="s">
        <v>410</v>
      </c>
      <c r="S35" s="1" t="s">
        <v>411</v>
      </c>
      <c r="T35" s="1" t="s">
        <v>412</v>
      </c>
      <c r="U35" s="1" t="s">
        <v>413</v>
      </c>
      <c r="V35" s="1" t="s">
        <v>414</v>
      </c>
    </row>
    <row r="36" spans="1:22" ht="16" customHeight="1" x14ac:dyDescent="0.2">
      <c r="A36">
        <v>96</v>
      </c>
      <c r="B36" t="s">
        <v>213</v>
      </c>
      <c r="C36" t="s">
        <v>165</v>
      </c>
      <c r="D36" t="s">
        <v>31</v>
      </c>
      <c r="E36" t="s">
        <v>453</v>
      </c>
      <c r="F36">
        <v>3647</v>
      </c>
      <c r="G36" t="s">
        <v>9</v>
      </c>
      <c r="H36" t="s">
        <v>415</v>
      </c>
      <c r="I36" t="s">
        <v>404</v>
      </c>
      <c r="J36" t="s">
        <v>405</v>
      </c>
      <c r="K36">
        <v>0</v>
      </c>
      <c r="L36" s="11" t="s">
        <v>406</v>
      </c>
      <c r="M36" t="s">
        <v>416</v>
      </c>
      <c r="N36" s="11" t="s">
        <v>417</v>
      </c>
      <c r="O36" t="s">
        <v>418</v>
      </c>
      <c r="P36" t="s">
        <v>415</v>
      </c>
      <c r="Q36">
        <v>1</v>
      </c>
      <c r="R36" s="11" t="s">
        <v>406</v>
      </c>
      <c r="S36" s="11" t="s">
        <v>406</v>
      </c>
      <c r="T36" s="11" t="s">
        <v>406</v>
      </c>
      <c r="U36" s="11" t="s">
        <v>419</v>
      </c>
      <c r="V36" s="11" t="s">
        <v>420</v>
      </c>
    </row>
    <row r="37" spans="1:22" x14ac:dyDescent="0.2">
      <c r="A37" s="1">
        <v>100</v>
      </c>
      <c r="B37" s="1" t="s">
        <v>220</v>
      </c>
      <c r="C37" s="1" t="s">
        <v>216</v>
      </c>
      <c r="D37" s="1" t="s">
        <v>31</v>
      </c>
      <c r="E37" s="1" t="s">
        <v>454</v>
      </c>
      <c r="F37" s="1">
        <v>5</v>
      </c>
      <c r="G37" s="1" t="s">
        <v>13</v>
      </c>
      <c r="H37" s="1" t="s">
        <v>403</v>
      </c>
      <c r="I37" s="1" t="s">
        <v>404</v>
      </c>
      <c r="J37" s="1" t="s">
        <v>405</v>
      </c>
      <c r="K37" s="1">
        <v>0</v>
      </c>
      <c r="L37" s="1" t="s">
        <v>406</v>
      </c>
      <c r="M37" s="1" t="s">
        <v>407</v>
      </c>
      <c r="N37" s="1" t="s">
        <v>408</v>
      </c>
      <c r="O37" s="1" t="s">
        <v>409</v>
      </c>
      <c r="P37" s="1" t="s">
        <v>403</v>
      </c>
      <c r="Q37" s="1">
        <v>1</v>
      </c>
      <c r="R37" s="1" t="s">
        <v>410</v>
      </c>
      <c r="S37" s="1" t="s">
        <v>411</v>
      </c>
      <c r="T37" s="1" t="s">
        <v>412</v>
      </c>
      <c r="U37" s="1" t="s">
        <v>413</v>
      </c>
      <c r="V37" s="1" t="s">
        <v>414</v>
      </c>
    </row>
    <row r="38" spans="1:22" x14ac:dyDescent="0.2">
      <c r="A38" s="1">
        <v>100</v>
      </c>
      <c r="B38" s="1" t="s">
        <v>220</v>
      </c>
      <c r="C38" s="1" t="s">
        <v>216</v>
      </c>
      <c r="D38" s="1" t="s">
        <v>31</v>
      </c>
      <c r="E38" s="1" t="s">
        <v>454</v>
      </c>
      <c r="F38" s="1">
        <v>5</v>
      </c>
      <c r="G38" s="1" t="s">
        <v>18</v>
      </c>
      <c r="H38" s="1" t="s">
        <v>423</v>
      </c>
      <c r="I38" s="1" t="s">
        <v>404</v>
      </c>
      <c r="J38" s="1" t="s">
        <v>424</v>
      </c>
      <c r="K38" s="1">
        <v>6</v>
      </c>
      <c r="L38" s="1" t="s">
        <v>425</v>
      </c>
      <c r="M38" s="1" t="s">
        <v>455</v>
      </c>
      <c r="N38" s="1" t="s">
        <v>456</v>
      </c>
      <c r="O38" s="1">
        <v>6</v>
      </c>
      <c r="P38" s="1" t="s">
        <v>423</v>
      </c>
      <c r="Q38" s="1">
        <v>1</v>
      </c>
      <c r="R38" s="1" t="s">
        <v>457</v>
      </c>
      <c r="S38" s="1" t="s">
        <v>406</v>
      </c>
      <c r="T38" s="1" t="s">
        <v>406</v>
      </c>
      <c r="U38" s="1" t="s">
        <v>429</v>
      </c>
      <c r="V38" s="1" t="s">
        <v>458</v>
      </c>
    </row>
    <row r="39" spans="1:22" ht="16" customHeight="1" x14ac:dyDescent="0.2">
      <c r="A39">
        <v>100</v>
      </c>
      <c r="B39" t="s">
        <v>220</v>
      </c>
      <c r="C39" t="s">
        <v>216</v>
      </c>
      <c r="D39" t="s">
        <v>31</v>
      </c>
      <c r="E39" t="s">
        <v>454</v>
      </c>
      <c r="F39">
        <v>5</v>
      </c>
      <c r="G39" t="s">
        <v>9</v>
      </c>
      <c r="H39" t="s">
        <v>415</v>
      </c>
      <c r="I39" t="s">
        <v>404</v>
      </c>
      <c r="J39" t="s">
        <v>405</v>
      </c>
      <c r="K39">
        <v>0</v>
      </c>
      <c r="L39" s="11" t="s">
        <v>406</v>
      </c>
      <c r="M39" t="s">
        <v>416</v>
      </c>
      <c r="N39" s="11" t="s">
        <v>417</v>
      </c>
      <c r="O39" t="s">
        <v>418</v>
      </c>
      <c r="P39" t="s">
        <v>415</v>
      </c>
      <c r="Q39">
        <v>1</v>
      </c>
      <c r="R39" s="11" t="s">
        <v>406</v>
      </c>
      <c r="S39" s="11" t="s">
        <v>406</v>
      </c>
      <c r="T39" s="11" t="s">
        <v>406</v>
      </c>
      <c r="U39" s="11" t="s">
        <v>419</v>
      </c>
      <c r="V39" s="11" t="s">
        <v>420</v>
      </c>
    </row>
    <row r="40" spans="1:22" x14ac:dyDescent="0.2">
      <c r="A40" s="1">
        <v>102</v>
      </c>
      <c r="B40" s="1" t="s">
        <v>224</v>
      </c>
      <c r="C40" s="1" t="s">
        <v>216</v>
      </c>
      <c r="D40" s="1" t="s">
        <v>31</v>
      </c>
      <c r="E40" s="1" t="s">
        <v>459</v>
      </c>
      <c r="F40" s="1">
        <v>1485</v>
      </c>
      <c r="G40" s="1" t="s">
        <v>13</v>
      </c>
      <c r="H40" s="1" t="s">
        <v>403</v>
      </c>
      <c r="I40" s="1" t="s">
        <v>404</v>
      </c>
      <c r="J40" s="1" t="s">
        <v>405</v>
      </c>
      <c r="K40" s="1">
        <v>0</v>
      </c>
      <c r="L40" s="1" t="s">
        <v>406</v>
      </c>
      <c r="M40" s="1" t="s">
        <v>407</v>
      </c>
      <c r="N40" s="1" t="s">
        <v>408</v>
      </c>
      <c r="O40" s="1" t="s">
        <v>409</v>
      </c>
      <c r="P40" s="1" t="s">
        <v>403</v>
      </c>
      <c r="Q40" s="1">
        <v>1</v>
      </c>
      <c r="R40" s="1" t="s">
        <v>410</v>
      </c>
      <c r="S40" s="1" t="s">
        <v>411</v>
      </c>
      <c r="T40" s="1" t="s">
        <v>412</v>
      </c>
      <c r="U40" s="1" t="s">
        <v>413</v>
      </c>
      <c r="V40" s="1" t="s">
        <v>414</v>
      </c>
    </row>
    <row r="41" spans="1:22" x14ac:dyDescent="0.2">
      <c r="A41" s="1">
        <v>102</v>
      </c>
      <c r="B41" s="1" t="s">
        <v>224</v>
      </c>
      <c r="C41" s="1" t="s">
        <v>216</v>
      </c>
      <c r="D41" s="1" t="s">
        <v>31</v>
      </c>
      <c r="E41" s="1" t="s">
        <v>459</v>
      </c>
      <c r="F41" s="1">
        <v>1485</v>
      </c>
      <c r="G41" s="1" t="s">
        <v>18</v>
      </c>
      <c r="H41" s="1" t="s">
        <v>423</v>
      </c>
      <c r="I41" s="1" t="s">
        <v>404</v>
      </c>
      <c r="J41" s="1" t="s">
        <v>424</v>
      </c>
      <c r="K41" s="1">
        <v>0.1</v>
      </c>
      <c r="L41" s="1" t="s">
        <v>425</v>
      </c>
      <c r="M41" s="1" t="s">
        <v>460</v>
      </c>
      <c r="N41" s="1" t="s">
        <v>461</v>
      </c>
      <c r="O41" s="1">
        <v>0.1</v>
      </c>
      <c r="P41" s="1" t="s">
        <v>423</v>
      </c>
      <c r="Q41" s="1">
        <v>1</v>
      </c>
      <c r="R41" s="1" t="s">
        <v>462</v>
      </c>
      <c r="S41" s="1" t="s">
        <v>406</v>
      </c>
      <c r="T41" s="1" t="s">
        <v>406</v>
      </c>
      <c r="U41" s="1" t="s">
        <v>429</v>
      </c>
      <c r="V41" s="1" t="s">
        <v>463</v>
      </c>
    </row>
    <row r="42" spans="1:22" ht="16" customHeight="1" x14ac:dyDescent="0.2">
      <c r="A42">
        <v>102</v>
      </c>
      <c r="B42" t="s">
        <v>224</v>
      </c>
      <c r="C42" t="s">
        <v>216</v>
      </c>
      <c r="D42" t="s">
        <v>31</v>
      </c>
      <c r="E42" t="s">
        <v>459</v>
      </c>
      <c r="F42">
        <v>1485</v>
      </c>
      <c r="G42" t="s">
        <v>9</v>
      </c>
      <c r="H42" t="s">
        <v>415</v>
      </c>
      <c r="I42" t="s">
        <v>404</v>
      </c>
      <c r="J42" t="s">
        <v>405</v>
      </c>
      <c r="K42">
        <v>0</v>
      </c>
      <c r="L42" s="11" t="s">
        <v>406</v>
      </c>
      <c r="M42" t="s">
        <v>416</v>
      </c>
      <c r="N42" s="11" t="s">
        <v>417</v>
      </c>
      <c r="O42" t="s">
        <v>418</v>
      </c>
      <c r="P42" t="s">
        <v>415</v>
      </c>
      <c r="Q42">
        <v>1</v>
      </c>
      <c r="R42" s="11" t="s">
        <v>406</v>
      </c>
      <c r="S42" s="11" t="s">
        <v>406</v>
      </c>
      <c r="T42" s="11" t="s">
        <v>406</v>
      </c>
      <c r="U42" s="11" t="s">
        <v>419</v>
      </c>
      <c r="V42" s="11" t="s">
        <v>420</v>
      </c>
    </row>
    <row r="43" spans="1:22" x14ac:dyDescent="0.2">
      <c r="A43" s="1">
        <v>104</v>
      </c>
      <c r="B43" s="1" t="s">
        <v>228</v>
      </c>
      <c r="C43" s="1" t="s">
        <v>216</v>
      </c>
      <c r="D43" s="1" t="s">
        <v>31</v>
      </c>
      <c r="E43" s="1" t="s">
        <v>464</v>
      </c>
      <c r="F43" s="1">
        <v>0</v>
      </c>
      <c r="G43" s="1" t="s">
        <v>14</v>
      </c>
      <c r="H43" s="1" t="s">
        <v>403</v>
      </c>
      <c r="I43" s="1" t="s">
        <v>404</v>
      </c>
      <c r="J43" s="1" t="s">
        <v>424</v>
      </c>
      <c r="K43" s="1">
        <v>0</v>
      </c>
      <c r="L43" s="1" t="s">
        <v>465</v>
      </c>
      <c r="M43" s="1" t="s">
        <v>466</v>
      </c>
      <c r="N43" s="1" t="s">
        <v>467</v>
      </c>
      <c r="O43" s="1">
        <v>0</v>
      </c>
      <c r="P43" s="1" t="s">
        <v>403</v>
      </c>
      <c r="Q43" s="1">
        <v>1</v>
      </c>
      <c r="R43" s="1" t="s">
        <v>465</v>
      </c>
      <c r="S43" s="1" t="s">
        <v>406</v>
      </c>
      <c r="T43" s="1" t="s">
        <v>406</v>
      </c>
      <c r="U43" s="1" t="s">
        <v>429</v>
      </c>
      <c r="V43" s="1" t="s">
        <v>468</v>
      </c>
    </row>
    <row r="44" spans="1:22" x14ac:dyDescent="0.2">
      <c r="A44" s="1">
        <v>104</v>
      </c>
      <c r="B44" s="1" t="s">
        <v>228</v>
      </c>
      <c r="C44" s="1" t="s">
        <v>216</v>
      </c>
      <c r="D44" s="1" t="s">
        <v>31</v>
      </c>
      <c r="E44" s="1" t="s">
        <v>464</v>
      </c>
      <c r="F44" s="1">
        <v>0</v>
      </c>
      <c r="G44" s="1" t="s">
        <v>20</v>
      </c>
      <c r="H44" s="1" t="s">
        <v>423</v>
      </c>
      <c r="I44" s="1" t="s">
        <v>404</v>
      </c>
      <c r="J44" s="1" t="s">
        <v>424</v>
      </c>
      <c r="K44" s="1">
        <v>0.56999999999999995</v>
      </c>
      <c r="L44" s="1" t="s">
        <v>465</v>
      </c>
      <c r="M44" s="1" t="s">
        <v>466</v>
      </c>
      <c r="N44" s="1" t="s">
        <v>467</v>
      </c>
      <c r="O44" s="1">
        <v>0.56999999999999995</v>
      </c>
      <c r="P44" s="1" t="s">
        <v>423</v>
      </c>
      <c r="Q44" s="1">
        <v>1</v>
      </c>
      <c r="R44" s="1" t="s">
        <v>465</v>
      </c>
      <c r="S44" s="1" t="s">
        <v>406</v>
      </c>
      <c r="T44" s="1" t="s">
        <v>406</v>
      </c>
      <c r="U44" s="1" t="s">
        <v>429</v>
      </c>
      <c r="V44" s="1" t="s">
        <v>468</v>
      </c>
    </row>
    <row r="45" spans="1:22" x14ac:dyDescent="0.2">
      <c r="A45" s="1">
        <v>104</v>
      </c>
      <c r="B45" s="1" t="s">
        <v>228</v>
      </c>
      <c r="C45" s="1" t="s">
        <v>216</v>
      </c>
      <c r="D45" s="1" t="s">
        <v>31</v>
      </c>
      <c r="E45" s="1" t="s">
        <v>464</v>
      </c>
      <c r="F45" s="1">
        <v>0</v>
      </c>
      <c r="G45" s="1" t="s">
        <v>23</v>
      </c>
      <c r="H45" s="1" t="s">
        <v>423</v>
      </c>
      <c r="I45" s="1" t="s">
        <v>404</v>
      </c>
      <c r="J45" s="1" t="s">
        <v>424</v>
      </c>
      <c r="K45" s="1">
        <v>234</v>
      </c>
      <c r="L45" s="1" t="s">
        <v>465</v>
      </c>
      <c r="M45" s="1" t="s">
        <v>466</v>
      </c>
      <c r="N45" s="1" t="s">
        <v>467</v>
      </c>
      <c r="O45" s="1">
        <v>234</v>
      </c>
      <c r="P45" s="1" t="s">
        <v>423</v>
      </c>
      <c r="Q45" s="1">
        <v>1</v>
      </c>
      <c r="R45" s="1" t="s">
        <v>465</v>
      </c>
      <c r="S45" s="1" t="s">
        <v>406</v>
      </c>
      <c r="T45" s="1" t="s">
        <v>406</v>
      </c>
      <c r="U45" s="1" t="s">
        <v>429</v>
      </c>
      <c r="V45" s="1" t="s">
        <v>468</v>
      </c>
    </row>
    <row r="46" spans="1:22" x14ac:dyDescent="0.2">
      <c r="A46" s="1">
        <v>104</v>
      </c>
      <c r="B46" s="1" t="s">
        <v>228</v>
      </c>
      <c r="C46" s="1" t="s">
        <v>216</v>
      </c>
      <c r="D46" s="1" t="s">
        <v>31</v>
      </c>
      <c r="E46" s="1" t="s">
        <v>464</v>
      </c>
      <c r="F46" s="1">
        <v>0</v>
      </c>
      <c r="G46" s="1" t="s">
        <v>24</v>
      </c>
      <c r="H46" s="1" t="s">
        <v>423</v>
      </c>
      <c r="I46" s="1" t="s">
        <v>404</v>
      </c>
      <c r="J46" s="1" t="s">
        <v>424</v>
      </c>
      <c r="K46" s="1">
        <v>9</v>
      </c>
      <c r="L46" s="1" t="s">
        <v>465</v>
      </c>
      <c r="M46" s="1" t="s">
        <v>466</v>
      </c>
      <c r="N46" s="1" t="s">
        <v>467</v>
      </c>
      <c r="O46" s="1">
        <v>9</v>
      </c>
      <c r="P46" s="1" t="s">
        <v>423</v>
      </c>
      <c r="Q46" s="1">
        <v>1</v>
      </c>
      <c r="R46" s="1" t="s">
        <v>465</v>
      </c>
      <c r="S46" s="1" t="s">
        <v>406</v>
      </c>
      <c r="T46" s="1" t="s">
        <v>406</v>
      </c>
      <c r="U46" s="1" t="s">
        <v>429</v>
      </c>
      <c r="V46" s="1" t="s">
        <v>468</v>
      </c>
    </row>
    <row r="47" spans="1:22" x14ac:dyDescent="0.2">
      <c r="A47" s="1">
        <v>104</v>
      </c>
      <c r="B47" s="1" t="s">
        <v>228</v>
      </c>
      <c r="C47" s="1" t="s">
        <v>216</v>
      </c>
      <c r="D47" s="1" t="s">
        <v>31</v>
      </c>
      <c r="E47" s="1" t="s">
        <v>464</v>
      </c>
      <c r="F47" s="1">
        <v>0</v>
      </c>
      <c r="G47" s="1" t="s">
        <v>25</v>
      </c>
      <c r="H47" s="1" t="s">
        <v>423</v>
      </c>
      <c r="I47" s="1" t="s">
        <v>404</v>
      </c>
      <c r="J47" s="1" t="s">
        <v>424</v>
      </c>
      <c r="K47" s="1">
        <v>1.7</v>
      </c>
      <c r="L47" s="1" t="s">
        <v>465</v>
      </c>
      <c r="M47" s="1" t="s">
        <v>466</v>
      </c>
      <c r="N47" s="1" t="s">
        <v>467</v>
      </c>
      <c r="O47" s="1">
        <v>1.7</v>
      </c>
      <c r="P47" s="1" t="s">
        <v>423</v>
      </c>
      <c r="Q47" s="1">
        <v>1</v>
      </c>
      <c r="R47" s="1" t="s">
        <v>465</v>
      </c>
      <c r="S47" s="1" t="s">
        <v>406</v>
      </c>
      <c r="T47" s="1" t="s">
        <v>406</v>
      </c>
      <c r="U47" s="1" t="s">
        <v>429</v>
      </c>
      <c r="V47" s="1" t="s">
        <v>468</v>
      </c>
    </row>
    <row r="48" spans="1:22" ht="16" customHeight="1" x14ac:dyDescent="0.2">
      <c r="A48">
        <v>104</v>
      </c>
      <c r="B48" t="s">
        <v>228</v>
      </c>
      <c r="C48" t="s">
        <v>216</v>
      </c>
      <c r="D48" t="s">
        <v>31</v>
      </c>
      <c r="E48" t="s">
        <v>464</v>
      </c>
      <c r="F48">
        <v>0</v>
      </c>
      <c r="G48" t="s">
        <v>9</v>
      </c>
      <c r="H48" t="s">
        <v>415</v>
      </c>
      <c r="I48" t="s">
        <v>404</v>
      </c>
      <c r="J48" t="s">
        <v>405</v>
      </c>
      <c r="K48">
        <v>0</v>
      </c>
      <c r="L48" s="11" t="s">
        <v>406</v>
      </c>
      <c r="M48" t="s">
        <v>416</v>
      </c>
      <c r="N48" s="11" t="s">
        <v>417</v>
      </c>
      <c r="O48" t="s">
        <v>418</v>
      </c>
      <c r="P48" t="s">
        <v>415</v>
      </c>
      <c r="Q48">
        <v>1</v>
      </c>
      <c r="R48" s="11" t="s">
        <v>406</v>
      </c>
      <c r="S48" s="11" t="s">
        <v>406</v>
      </c>
      <c r="T48" s="11" t="s">
        <v>406</v>
      </c>
      <c r="U48" s="11" t="s">
        <v>419</v>
      </c>
      <c r="V48" s="11" t="s">
        <v>420</v>
      </c>
    </row>
    <row r="49" spans="1:22" x14ac:dyDescent="0.2">
      <c r="A49" s="1">
        <v>107</v>
      </c>
      <c r="B49" s="1" t="s">
        <v>233</v>
      </c>
      <c r="C49" s="1" t="s">
        <v>231</v>
      </c>
      <c r="D49" s="1" t="s">
        <v>31</v>
      </c>
      <c r="E49" s="1" t="s">
        <v>469</v>
      </c>
      <c r="F49" s="1">
        <v>331</v>
      </c>
      <c r="G49" s="1" t="s">
        <v>13</v>
      </c>
      <c r="H49" s="1" t="s">
        <v>403</v>
      </c>
      <c r="I49" s="1" t="s">
        <v>404</v>
      </c>
      <c r="J49" s="1" t="s">
        <v>405</v>
      </c>
      <c r="K49" s="1">
        <v>0</v>
      </c>
      <c r="L49" s="1" t="s">
        <v>406</v>
      </c>
      <c r="M49" s="1" t="s">
        <v>407</v>
      </c>
      <c r="N49" s="1" t="s">
        <v>408</v>
      </c>
      <c r="O49" s="1" t="s">
        <v>409</v>
      </c>
      <c r="P49" s="1" t="s">
        <v>403</v>
      </c>
      <c r="Q49" s="1">
        <v>1</v>
      </c>
      <c r="R49" s="1" t="s">
        <v>410</v>
      </c>
      <c r="S49" s="1" t="s">
        <v>411</v>
      </c>
      <c r="T49" s="1" t="s">
        <v>412</v>
      </c>
      <c r="U49" s="1" t="s">
        <v>413</v>
      </c>
      <c r="V49" s="1" t="s">
        <v>414</v>
      </c>
    </row>
    <row r="50" spans="1:22" ht="16" customHeight="1" x14ac:dyDescent="0.2">
      <c r="A50">
        <v>107</v>
      </c>
      <c r="B50" t="s">
        <v>233</v>
      </c>
      <c r="C50" t="s">
        <v>231</v>
      </c>
      <c r="D50" t="s">
        <v>31</v>
      </c>
      <c r="E50" t="s">
        <v>469</v>
      </c>
      <c r="F50">
        <v>331</v>
      </c>
      <c r="G50" t="s">
        <v>9</v>
      </c>
      <c r="H50" t="s">
        <v>415</v>
      </c>
      <c r="I50" t="s">
        <v>404</v>
      </c>
      <c r="J50" t="s">
        <v>405</v>
      </c>
      <c r="K50">
        <v>0</v>
      </c>
      <c r="L50" s="11" t="s">
        <v>406</v>
      </c>
      <c r="M50" t="s">
        <v>416</v>
      </c>
      <c r="N50" s="11" t="s">
        <v>417</v>
      </c>
      <c r="O50" t="s">
        <v>418</v>
      </c>
      <c r="P50" t="s">
        <v>415</v>
      </c>
      <c r="Q50">
        <v>1</v>
      </c>
      <c r="R50" s="11" t="s">
        <v>406</v>
      </c>
      <c r="S50" s="11" t="s">
        <v>406</v>
      </c>
      <c r="T50" s="11" t="s">
        <v>406</v>
      </c>
      <c r="U50" s="11" t="s">
        <v>419</v>
      </c>
      <c r="V50" s="11" t="s">
        <v>420</v>
      </c>
    </row>
    <row r="51" spans="1:22" x14ac:dyDescent="0.2">
      <c r="A51" s="1">
        <v>109</v>
      </c>
      <c r="B51" s="1" t="s">
        <v>237</v>
      </c>
      <c r="C51" s="1" t="s">
        <v>231</v>
      </c>
      <c r="D51" s="1" t="s">
        <v>31</v>
      </c>
      <c r="E51" s="1" t="s">
        <v>470</v>
      </c>
      <c r="F51" s="1">
        <v>88</v>
      </c>
      <c r="G51" s="1" t="s">
        <v>13</v>
      </c>
      <c r="H51" s="1" t="s">
        <v>403</v>
      </c>
      <c r="I51" s="1" t="s">
        <v>404</v>
      </c>
      <c r="J51" s="1" t="s">
        <v>405</v>
      </c>
      <c r="K51" s="1">
        <v>0</v>
      </c>
      <c r="L51" s="1" t="s">
        <v>406</v>
      </c>
      <c r="M51" s="1" t="s">
        <v>407</v>
      </c>
      <c r="N51" s="1" t="s">
        <v>408</v>
      </c>
      <c r="O51" s="1" t="s">
        <v>409</v>
      </c>
      <c r="P51" s="1" t="s">
        <v>403</v>
      </c>
      <c r="Q51" s="1">
        <v>1</v>
      </c>
      <c r="R51" s="1" t="s">
        <v>410</v>
      </c>
      <c r="S51" s="1" t="s">
        <v>411</v>
      </c>
      <c r="T51" s="1" t="s">
        <v>412</v>
      </c>
      <c r="U51" s="1" t="s">
        <v>413</v>
      </c>
      <c r="V51" s="1" t="s">
        <v>414</v>
      </c>
    </row>
    <row r="52" spans="1:22" ht="16" customHeight="1" x14ac:dyDescent="0.2">
      <c r="A52">
        <v>109</v>
      </c>
      <c r="B52" t="s">
        <v>237</v>
      </c>
      <c r="C52" t="s">
        <v>231</v>
      </c>
      <c r="D52" t="s">
        <v>31</v>
      </c>
      <c r="E52" t="s">
        <v>470</v>
      </c>
      <c r="F52">
        <v>88</v>
      </c>
      <c r="G52" t="s">
        <v>9</v>
      </c>
      <c r="H52" t="s">
        <v>415</v>
      </c>
      <c r="I52" t="s">
        <v>404</v>
      </c>
      <c r="J52" t="s">
        <v>405</v>
      </c>
      <c r="K52">
        <v>0</v>
      </c>
      <c r="L52" s="11" t="s">
        <v>406</v>
      </c>
      <c r="M52" t="s">
        <v>416</v>
      </c>
      <c r="N52" s="11" t="s">
        <v>417</v>
      </c>
      <c r="O52" t="s">
        <v>418</v>
      </c>
      <c r="P52" t="s">
        <v>415</v>
      </c>
      <c r="Q52">
        <v>1</v>
      </c>
      <c r="R52" s="11" t="s">
        <v>406</v>
      </c>
      <c r="S52" s="11" t="s">
        <v>406</v>
      </c>
      <c r="T52" s="11" t="s">
        <v>406</v>
      </c>
      <c r="U52" s="11" t="s">
        <v>419</v>
      </c>
      <c r="V52" s="11" t="s">
        <v>420</v>
      </c>
    </row>
    <row r="53" spans="1:22" x14ac:dyDescent="0.2">
      <c r="A53" s="1">
        <v>110</v>
      </c>
      <c r="B53" s="1" t="s">
        <v>239</v>
      </c>
      <c r="C53" s="1" t="s">
        <v>231</v>
      </c>
      <c r="D53" s="1" t="s">
        <v>31</v>
      </c>
      <c r="E53" s="1" t="s">
        <v>471</v>
      </c>
      <c r="F53" s="1">
        <v>1923</v>
      </c>
      <c r="G53" s="1" t="s">
        <v>13</v>
      </c>
      <c r="H53" s="1" t="s">
        <v>403</v>
      </c>
      <c r="I53" s="1" t="s">
        <v>404</v>
      </c>
      <c r="J53" s="1" t="s">
        <v>405</v>
      </c>
      <c r="K53" s="1">
        <v>0</v>
      </c>
      <c r="L53" s="1" t="s">
        <v>406</v>
      </c>
      <c r="M53" s="1" t="s">
        <v>407</v>
      </c>
      <c r="N53" s="1" t="s">
        <v>408</v>
      </c>
      <c r="O53" s="1" t="s">
        <v>409</v>
      </c>
      <c r="P53" s="1" t="s">
        <v>403</v>
      </c>
      <c r="Q53" s="1">
        <v>1</v>
      </c>
      <c r="R53" s="1" t="s">
        <v>410</v>
      </c>
      <c r="S53" s="1" t="s">
        <v>411</v>
      </c>
      <c r="T53" s="1" t="s">
        <v>412</v>
      </c>
      <c r="U53" s="1" t="s">
        <v>413</v>
      </c>
      <c r="V53" s="1" t="s">
        <v>414</v>
      </c>
    </row>
    <row r="54" spans="1:22" ht="16" customHeight="1" x14ac:dyDescent="0.2">
      <c r="A54">
        <v>110</v>
      </c>
      <c r="B54" t="s">
        <v>239</v>
      </c>
      <c r="C54" t="s">
        <v>231</v>
      </c>
      <c r="D54" t="s">
        <v>31</v>
      </c>
      <c r="E54" t="s">
        <v>471</v>
      </c>
      <c r="F54">
        <v>1923</v>
      </c>
      <c r="G54" t="s">
        <v>9</v>
      </c>
      <c r="H54" t="s">
        <v>415</v>
      </c>
      <c r="I54" t="s">
        <v>404</v>
      </c>
      <c r="J54" t="s">
        <v>405</v>
      </c>
      <c r="K54">
        <v>0</v>
      </c>
      <c r="L54" s="11" t="s">
        <v>406</v>
      </c>
      <c r="M54" t="s">
        <v>416</v>
      </c>
      <c r="N54" s="11" t="s">
        <v>417</v>
      </c>
      <c r="O54" t="s">
        <v>418</v>
      </c>
      <c r="P54" t="s">
        <v>415</v>
      </c>
      <c r="Q54">
        <v>1</v>
      </c>
      <c r="R54" s="11" t="s">
        <v>406</v>
      </c>
      <c r="S54" s="11" t="s">
        <v>406</v>
      </c>
      <c r="T54" s="11" t="s">
        <v>406</v>
      </c>
      <c r="U54" s="11" t="s">
        <v>419</v>
      </c>
      <c r="V54" s="11" t="s">
        <v>420</v>
      </c>
    </row>
    <row r="55" spans="1:22" x14ac:dyDescent="0.2">
      <c r="A55" s="1">
        <v>111</v>
      </c>
      <c r="B55" s="1" t="s">
        <v>241</v>
      </c>
      <c r="C55" s="1" t="s">
        <v>231</v>
      </c>
      <c r="D55" s="1" t="s">
        <v>31</v>
      </c>
      <c r="E55" s="1" t="s">
        <v>472</v>
      </c>
      <c r="F55" s="1">
        <v>3064</v>
      </c>
      <c r="G55" s="1" t="s">
        <v>13</v>
      </c>
      <c r="H55" s="1" t="s">
        <v>403</v>
      </c>
      <c r="I55" s="1" t="s">
        <v>404</v>
      </c>
      <c r="J55" s="1" t="s">
        <v>405</v>
      </c>
      <c r="K55" s="1">
        <v>0</v>
      </c>
      <c r="L55" s="1" t="s">
        <v>406</v>
      </c>
      <c r="M55" s="1" t="s">
        <v>407</v>
      </c>
      <c r="N55" s="1" t="s">
        <v>408</v>
      </c>
      <c r="O55" s="1" t="s">
        <v>409</v>
      </c>
      <c r="P55" s="1" t="s">
        <v>403</v>
      </c>
      <c r="Q55" s="1">
        <v>1</v>
      </c>
      <c r="R55" s="1" t="s">
        <v>410</v>
      </c>
      <c r="S55" s="1" t="s">
        <v>411</v>
      </c>
      <c r="T55" s="1" t="s">
        <v>412</v>
      </c>
      <c r="U55" s="1" t="s">
        <v>413</v>
      </c>
      <c r="V55" s="1" t="s">
        <v>414</v>
      </c>
    </row>
    <row r="56" spans="1:22" ht="16" customHeight="1" x14ac:dyDescent="0.2">
      <c r="A56">
        <v>111</v>
      </c>
      <c r="B56" t="s">
        <v>241</v>
      </c>
      <c r="C56" t="s">
        <v>231</v>
      </c>
      <c r="D56" t="s">
        <v>31</v>
      </c>
      <c r="E56" t="s">
        <v>472</v>
      </c>
      <c r="F56">
        <v>3064</v>
      </c>
      <c r="G56" t="s">
        <v>9</v>
      </c>
      <c r="H56" t="s">
        <v>415</v>
      </c>
      <c r="I56" t="s">
        <v>404</v>
      </c>
      <c r="J56" t="s">
        <v>405</v>
      </c>
      <c r="K56">
        <v>0</v>
      </c>
      <c r="L56" s="11" t="s">
        <v>406</v>
      </c>
      <c r="M56" t="s">
        <v>416</v>
      </c>
      <c r="N56" s="11" t="s">
        <v>417</v>
      </c>
      <c r="O56" t="s">
        <v>418</v>
      </c>
      <c r="P56" t="s">
        <v>415</v>
      </c>
      <c r="Q56">
        <v>1</v>
      </c>
      <c r="R56" s="11" t="s">
        <v>406</v>
      </c>
      <c r="S56" s="11" t="s">
        <v>406</v>
      </c>
      <c r="T56" s="11" t="s">
        <v>406</v>
      </c>
      <c r="U56" s="11" t="s">
        <v>419</v>
      </c>
      <c r="V56" s="11" t="s">
        <v>420</v>
      </c>
    </row>
    <row r="57" spans="1:22" x14ac:dyDescent="0.2">
      <c r="A57" s="1">
        <v>112</v>
      </c>
      <c r="B57" s="1" t="s">
        <v>243</v>
      </c>
      <c r="C57" s="1" t="s">
        <v>231</v>
      </c>
      <c r="D57" s="1" t="s">
        <v>31</v>
      </c>
      <c r="E57" s="1" t="s">
        <v>473</v>
      </c>
      <c r="F57" s="1">
        <v>1259</v>
      </c>
      <c r="G57" s="1" t="s">
        <v>13</v>
      </c>
      <c r="H57" s="1" t="s">
        <v>403</v>
      </c>
      <c r="I57" s="1" t="s">
        <v>404</v>
      </c>
      <c r="J57" s="1" t="s">
        <v>405</v>
      </c>
      <c r="K57" s="1">
        <v>0</v>
      </c>
      <c r="L57" s="1" t="s">
        <v>406</v>
      </c>
      <c r="M57" s="1" t="s">
        <v>407</v>
      </c>
      <c r="N57" s="1" t="s">
        <v>408</v>
      </c>
      <c r="O57" s="1" t="s">
        <v>409</v>
      </c>
      <c r="P57" s="1" t="s">
        <v>403</v>
      </c>
      <c r="Q57" s="1">
        <v>1</v>
      </c>
      <c r="R57" s="1" t="s">
        <v>410</v>
      </c>
      <c r="S57" s="1" t="s">
        <v>411</v>
      </c>
      <c r="T57" s="1" t="s">
        <v>412</v>
      </c>
      <c r="U57" s="1" t="s">
        <v>413</v>
      </c>
      <c r="V57" s="1" t="s">
        <v>414</v>
      </c>
    </row>
    <row r="58" spans="1:22" ht="16" customHeight="1" x14ac:dyDescent="0.2">
      <c r="A58">
        <v>112</v>
      </c>
      <c r="B58" t="s">
        <v>243</v>
      </c>
      <c r="C58" t="s">
        <v>231</v>
      </c>
      <c r="D58" t="s">
        <v>31</v>
      </c>
      <c r="E58" t="s">
        <v>473</v>
      </c>
      <c r="F58">
        <v>1259</v>
      </c>
      <c r="G58" t="s">
        <v>9</v>
      </c>
      <c r="H58" t="s">
        <v>415</v>
      </c>
      <c r="I58" t="s">
        <v>404</v>
      </c>
      <c r="J58" t="s">
        <v>405</v>
      </c>
      <c r="K58">
        <v>0</v>
      </c>
      <c r="L58" s="11" t="s">
        <v>406</v>
      </c>
      <c r="M58" t="s">
        <v>416</v>
      </c>
      <c r="N58" s="11" t="s">
        <v>417</v>
      </c>
      <c r="O58" t="s">
        <v>418</v>
      </c>
      <c r="P58" t="s">
        <v>415</v>
      </c>
      <c r="Q58">
        <v>1</v>
      </c>
      <c r="R58" s="11" t="s">
        <v>406</v>
      </c>
      <c r="S58" s="11" t="s">
        <v>406</v>
      </c>
      <c r="T58" s="11" t="s">
        <v>406</v>
      </c>
      <c r="U58" s="11" t="s">
        <v>419</v>
      </c>
      <c r="V58" s="11" t="s">
        <v>420</v>
      </c>
    </row>
    <row r="59" spans="1:22" x14ac:dyDescent="0.2">
      <c r="A59" s="1">
        <v>114</v>
      </c>
      <c r="B59" s="1" t="s">
        <v>247</v>
      </c>
      <c r="C59" s="1" t="s">
        <v>231</v>
      </c>
      <c r="D59" s="1" t="s">
        <v>31</v>
      </c>
      <c r="E59" s="1" t="s">
        <v>474</v>
      </c>
      <c r="F59" s="1">
        <v>180</v>
      </c>
      <c r="G59" s="1" t="s">
        <v>13</v>
      </c>
      <c r="H59" s="1" t="s">
        <v>403</v>
      </c>
      <c r="I59" s="1" t="s">
        <v>404</v>
      </c>
      <c r="J59" s="1" t="s">
        <v>405</v>
      </c>
      <c r="K59" s="1">
        <v>0</v>
      </c>
      <c r="L59" s="1" t="s">
        <v>406</v>
      </c>
      <c r="M59" s="1" t="s">
        <v>407</v>
      </c>
      <c r="N59" s="1" t="s">
        <v>408</v>
      </c>
      <c r="O59" s="1" t="s">
        <v>409</v>
      </c>
      <c r="P59" s="1" t="s">
        <v>403</v>
      </c>
      <c r="Q59" s="1">
        <v>1</v>
      </c>
      <c r="R59" s="1" t="s">
        <v>410</v>
      </c>
      <c r="S59" s="1" t="s">
        <v>411</v>
      </c>
      <c r="T59" s="1" t="s">
        <v>412</v>
      </c>
      <c r="U59" s="1" t="s">
        <v>413</v>
      </c>
      <c r="V59" s="1" t="s">
        <v>414</v>
      </c>
    </row>
    <row r="60" spans="1:22" ht="16" customHeight="1" x14ac:dyDescent="0.2">
      <c r="A60">
        <v>114</v>
      </c>
      <c r="B60" t="s">
        <v>247</v>
      </c>
      <c r="C60" t="s">
        <v>231</v>
      </c>
      <c r="D60" t="s">
        <v>31</v>
      </c>
      <c r="E60" t="s">
        <v>474</v>
      </c>
      <c r="F60">
        <v>180</v>
      </c>
      <c r="G60" t="s">
        <v>9</v>
      </c>
      <c r="H60" t="s">
        <v>415</v>
      </c>
      <c r="I60" t="s">
        <v>404</v>
      </c>
      <c r="J60" t="s">
        <v>405</v>
      </c>
      <c r="K60">
        <v>0</v>
      </c>
      <c r="L60" s="11" t="s">
        <v>406</v>
      </c>
      <c r="M60" t="s">
        <v>416</v>
      </c>
      <c r="N60" s="11" t="s">
        <v>417</v>
      </c>
      <c r="O60" t="s">
        <v>418</v>
      </c>
      <c r="P60" t="s">
        <v>415</v>
      </c>
      <c r="Q60">
        <v>1</v>
      </c>
      <c r="R60" s="11" t="s">
        <v>406</v>
      </c>
      <c r="S60" s="11" t="s">
        <v>406</v>
      </c>
      <c r="T60" s="11" t="s">
        <v>406</v>
      </c>
      <c r="U60" s="11" t="s">
        <v>419</v>
      </c>
      <c r="V60" s="11" t="s">
        <v>420</v>
      </c>
    </row>
    <row r="61" spans="1:22" x14ac:dyDescent="0.2">
      <c r="A61" s="1">
        <v>117</v>
      </c>
      <c r="B61" s="1" t="s">
        <v>253</v>
      </c>
      <c r="C61" s="1" t="s">
        <v>231</v>
      </c>
      <c r="D61" s="1" t="s">
        <v>31</v>
      </c>
      <c r="E61" s="1" t="s">
        <v>475</v>
      </c>
      <c r="F61" s="1">
        <v>192</v>
      </c>
      <c r="G61" s="1" t="s">
        <v>13</v>
      </c>
      <c r="H61" s="1" t="s">
        <v>403</v>
      </c>
      <c r="I61" s="1" t="s">
        <v>404</v>
      </c>
      <c r="J61" s="1" t="s">
        <v>405</v>
      </c>
      <c r="K61" s="1">
        <v>0</v>
      </c>
      <c r="L61" s="1" t="s">
        <v>406</v>
      </c>
      <c r="M61" s="1" t="s">
        <v>407</v>
      </c>
      <c r="N61" s="1" t="s">
        <v>408</v>
      </c>
      <c r="O61" s="1" t="s">
        <v>409</v>
      </c>
      <c r="P61" s="1" t="s">
        <v>403</v>
      </c>
      <c r="Q61" s="1">
        <v>1</v>
      </c>
      <c r="R61" s="1" t="s">
        <v>410</v>
      </c>
      <c r="S61" s="1" t="s">
        <v>411</v>
      </c>
      <c r="T61" s="1" t="s">
        <v>412</v>
      </c>
      <c r="U61" s="1" t="s">
        <v>413</v>
      </c>
      <c r="V61" s="1" t="s">
        <v>414</v>
      </c>
    </row>
    <row r="62" spans="1:22" ht="16" customHeight="1" x14ac:dyDescent="0.2">
      <c r="A62">
        <v>117</v>
      </c>
      <c r="B62" t="s">
        <v>253</v>
      </c>
      <c r="C62" t="s">
        <v>231</v>
      </c>
      <c r="D62" t="s">
        <v>31</v>
      </c>
      <c r="E62" t="s">
        <v>475</v>
      </c>
      <c r="F62">
        <v>192</v>
      </c>
      <c r="G62" t="s">
        <v>9</v>
      </c>
      <c r="H62" t="s">
        <v>415</v>
      </c>
      <c r="I62" t="s">
        <v>404</v>
      </c>
      <c r="J62" t="s">
        <v>405</v>
      </c>
      <c r="K62">
        <v>0</v>
      </c>
      <c r="L62" s="11" t="s">
        <v>406</v>
      </c>
      <c r="M62" t="s">
        <v>416</v>
      </c>
      <c r="N62" s="11" t="s">
        <v>417</v>
      </c>
      <c r="O62" t="s">
        <v>418</v>
      </c>
      <c r="P62" t="s">
        <v>415</v>
      </c>
      <c r="Q62">
        <v>1</v>
      </c>
      <c r="R62" s="11" t="s">
        <v>406</v>
      </c>
      <c r="S62" s="11" t="s">
        <v>406</v>
      </c>
      <c r="T62" s="11" t="s">
        <v>406</v>
      </c>
      <c r="U62" s="11" t="s">
        <v>419</v>
      </c>
      <c r="V62" s="11" t="s">
        <v>420</v>
      </c>
    </row>
    <row r="63" spans="1:22" x14ac:dyDescent="0.2">
      <c r="A63" s="1">
        <v>118</v>
      </c>
      <c r="B63" s="1" t="s">
        <v>255</v>
      </c>
      <c r="C63" s="1" t="s">
        <v>231</v>
      </c>
      <c r="D63" s="1" t="s">
        <v>31</v>
      </c>
      <c r="E63" s="1" t="s">
        <v>438</v>
      </c>
      <c r="F63" s="1">
        <v>355</v>
      </c>
      <c r="G63" s="1" t="s">
        <v>13</v>
      </c>
      <c r="H63" s="1" t="s">
        <v>403</v>
      </c>
      <c r="I63" s="1" t="s">
        <v>404</v>
      </c>
      <c r="J63" s="1" t="s">
        <v>405</v>
      </c>
      <c r="K63" s="1">
        <v>0</v>
      </c>
      <c r="L63" s="1" t="s">
        <v>406</v>
      </c>
      <c r="M63" s="1" t="s">
        <v>407</v>
      </c>
      <c r="N63" s="1" t="s">
        <v>408</v>
      </c>
      <c r="O63" s="1" t="s">
        <v>409</v>
      </c>
      <c r="P63" s="1" t="s">
        <v>403</v>
      </c>
      <c r="Q63" s="1">
        <v>1</v>
      </c>
      <c r="R63" s="1" t="s">
        <v>410</v>
      </c>
      <c r="S63" s="1" t="s">
        <v>411</v>
      </c>
      <c r="T63" s="1" t="s">
        <v>412</v>
      </c>
      <c r="U63" s="1" t="s">
        <v>413</v>
      </c>
      <c r="V63" s="1" t="s">
        <v>414</v>
      </c>
    </row>
    <row r="64" spans="1:22" ht="16" customHeight="1" x14ac:dyDescent="0.2">
      <c r="A64">
        <v>118</v>
      </c>
      <c r="B64" t="s">
        <v>255</v>
      </c>
      <c r="C64" t="s">
        <v>231</v>
      </c>
      <c r="D64" t="s">
        <v>31</v>
      </c>
      <c r="E64" t="s">
        <v>438</v>
      </c>
      <c r="F64">
        <v>355</v>
      </c>
      <c r="G64" t="s">
        <v>9</v>
      </c>
      <c r="H64" t="s">
        <v>415</v>
      </c>
      <c r="I64" t="s">
        <v>404</v>
      </c>
      <c r="J64" t="s">
        <v>405</v>
      </c>
      <c r="K64">
        <v>0</v>
      </c>
      <c r="L64" s="11" t="s">
        <v>406</v>
      </c>
      <c r="M64" t="s">
        <v>416</v>
      </c>
      <c r="N64" s="11" t="s">
        <v>417</v>
      </c>
      <c r="O64" t="s">
        <v>418</v>
      </c>
      <c r="P64" t="s">
        <v>415</v>
      </c>
      <c r="Q64">
        <v>1</v>
      </c>
      <c r="R64" s="11" t="s">
        <v>406</v>
      </c>
      <c r="S64" s="11" t="s">
        <v>406</v>
      </c>
      <c r="T64" s="11" t="s">
        <v>406</v>
      </c>
      <c r="U64" s="11" t="s">
        <v>419</v>
      </c>
      <c r="V64" s="11" t="s">
        <v>420</v>
      </c>
    </row>
    <row r="65" spans="1:22" x14ac:dyDescent="0.2">
      <c r="A65" s="1">
        <v>122</v>
      </c>
      <c r="B65" s="1" t="s">
        <v>261</v>
      </c>
      <c r="C65" s="1" t="s">
        <v>257</v>
      </c>
      <c r="D65" s="1" t="s">
        <v>31</v>
      </c>
      <c r="E65" s="1" t="s">
        <v>476</v>
      </c>
      <c r="F65" s="1">
        <v>3117</v>
      </c>
      <c r="G65" s="1" t="s">
        <v>13</v>
      </c>
      <c r="H65" s="1" t="s">
        <v>403</v>
      </c>
      <c r="I65" s="1" t="s">
        <v>404</v>
      </c>
      <c r="J65" s="1" t="s">
        <v>405</v>
      </c>
      <c r="K65" s="1">
        <v>0</v>
      </c>
      <c r="L65" s="1" t="s">
        <v>406</v>
      </c>
      <c r="M65" s="1" t="s">
        <v>407</v>
      </c>
      <c r="N65" s="1" t="s">
        <v>408</v>
      </c>
      <c r="O65" s="1" t="s">
        <v>409</v>
      </c>
      <c r="P65" s="1" t="s">
        <v>403</v>
      </c>
      <c r="Q65" s="1">
        <v>1</v>
      </c>
      <c r="R65" s="1" t="s">
        <v>410</v>
      </c>
      <c r="S65" s="1" t="s">
        <v>411</v>
      </c>
      <c r="T65" s="1" t="s">
        <v>412</v>
      </c>
      <c r="U65" s="1" t="s">
        <v>413</v>
      </c>
      <c r="V65" s="1" t="s">
        <v>414</v>
      </c>
    </row>
    <row r="66" spans="1:22" ht="16" customHeight="1" x14ac:dyDescent="0.2">
      <c r="A66">
        <v>122</v>
      </c>
      <c r="B66" t="s">
        <v>261</v>
      </c>
      <c r="C66" t="s">
        <v>257</v>
      </c>
      <c r="D66" t="s">
        <v>31</v>
      </c>
      <c r="E66" t="s">
        <v>476</v>
      </c>
      <c r="F66">
        <v>3117</v>
      </c>
      <c r="G66" t="s">
        <v>9</v>
      </c>
      <c r="H66" t="s">
        <v>415</v>
      </c>
      <c r="I66" t="s">
        <v>404</v>
      </c>
      <c r="J66" t="s">
        <v>405</v>
      </c>
      <c r="K66">
        <v>0</v>
      </c>
      <c r="L66" s="11" t="s">
        <v>406</v>
      </c>
      <c r="M66" t="s">
        <v>416</v>
      </c>
      <c r="N66" s="11" t="s">
        <v>417</v>
      </c>
      <c r="O66" t="s">
        <v>418</v>
      </c>
      <c r="P66" t="s">
        <v>415</v>
      </c>
      <c r="Q66">
        <v>1</v>
      </c>
      <c r="R66" s="11" t="s">
        <v>406</v>
      </c>
      <c r="S66" s="11" t="s">
        <v>406</v>
      </c>
      <c r="T66" s="11" t="s">
        <v>406</v>
      </c>
      <c r="U66" s="11" t="s">
        <v>419</v>
      </c>
      <c r="V66" s="11" t="s">
        <v>420</v>
      </c>
    </row>
    <row r="67" spans="1:22" x14ac:dyDescent="0.2">
      <c r="A67" s="1">
        <v>130</v>
      </c>
      <c r="B67" s="1" t="s">
        <v>276</v>
      </c>
      <c r="C67" s="1" t="s">
        <v>266</v>
      </c>
      <c r="D67" s="1" t="s">
        <v>477</v>
      </c>
      <c r="E67" s="1" t="s">
        <v>478</v>
      </c>
      <c r="F67" s="1">
        <v>1712</v>
      </c>
      <c r="G67" s="1" t="s">
        <v>12</v>
      </c>
      <c r="H67" s="1" t="s">
        <v>415</v>
      </c>
      <c r="I67" s="1" t="s">
        <v>404</v>
      </c>
      <c r="J67" s="1" t="s">
        <v>424</v>
      </c>
      <c r="K67" s="1">
        <v>4.7</v>
      </c>
      <c r="L67" s="1" t="s">
        <v>479</v>
      </c>
      <c r="M67" s="1" t="s">
        <v>480</v>
      </c>
      <c r="N67" s="1" t="s">
        <v>481</v>
      </c>
      <c r="O67" s="1">
        <v>4.7</v>
      </c>
      <c r="P67" s="1" t="s">
        <v>415</v>
      </c>
      <c r="Q67" s="1">
        <v>1</v>
      </c>
      <c r="R67" s="1" t="s">
        <v>482</v>
      </c>
      <c r="S67" s="1" t="s">
        <v>406</v>
      </c>
      <c r="T67" s="1" t="s">
        <v>406</v>
      </c>
      <c r="U67" s="1" t="s">
        <v>483</v>
      </c>
      <c r="V67" s="1" t="s">
        <v>484</v>
      </c>
    </row>
    <row r="68" spans="1:22" x14ac:dyDescent="0.2">
      <c r="A68" s="1">
        <v>130</v>
      </c>
      <c r="B68" s="1" t="s">
        <v>276</v>
      </c>
      <c r="C68" s="1" t="s">
        <v>266</v>
      </c>
      <c r="D68" s="1" t="s">
        <v>477</v>
      </c>
      <c r="E68" s="1" t="s">
        <v>478</v>
      </c>
      <c r="F68" s="1">
        <v>1712</v>
      </c>
      <c r="G68" s="1" t="s">
        <v>14</v>
      </c>
      <c r="H68" s="1" t="s">
        <v>403</v>
      </c>
      <c r="I68" s="1" t="s">
        <v>404</v>
      </c>
      <c r="J68" s="1" t="s">
        <v>424</v>
      </c>
      <c r="K68" s="1">
        <v>0</v>
      </c>
      <c r="L68" s="1" t="s">
        <v>425</v>
      </c>
      <c r="M68" s="1" t="s">
        <v>485</v>
      </c>
      <c r="N68" s="1" t="s">
        <v>486</v>
      </c>
      <c r="O68" s="1">
        <v>0</v>
      </c>
      <c r="P68" s="1" t="s">
        <v>403</v>
      </c>
      <c r="Q68" s="1">
        <v>1</v>
      </c>
      <c r="R68" s="1" t="s">
        <v>487</v>
      </c>
      <c r="S68" s="1" t="s">
        <v>406</v>
      </c>
      <c r="T68" s="1" t="s">
        <v>406</v>
      </c>
      <c r="U68" s="1" t="s">
        <v>483</v>
      </c>
      <c r="V68" s="1" t="s">
        <v>488</v>
      </c>
    </row>
    <row r="69" spans="1:22" x14ac:dyDescent="0.2">
      <c r="A69" s="1">
        <v>130</v>
      </c>
      <c r="B69" s="1" t="s">
        <v>276</v>
      </c>
      <c r="C69" s="1" t="s">
        <v>266</v>
      </c>
      <c r="D69" s="1" t="s">
        <v>477</v>
      </c>
      <c r="E69" s="1" t="s">
        <v>478</v>
      </c>
      <c r="F69" s="1">
        <v>1712</v>
      </c>
      <c r="G69" s="1" t="s">
        <v>20</v>
      </c>
      <c r="H69" s="1" t="s">
        <v>423</v>
      </c>
      <c r="I69" s="1" t="s">
        <v>404</v>
      </c>
      <c r="J69" s="1" t="s">
        <v>424</v>
      </c>
      <c r="K69" s="1">
        <v>1.3</v>
      </c>
      <c r="L69" s="1" t="s">
        <v>479</v>
      </c>
      <c r="M69" s="1" t="s">
        <v>480</v>
      </c>
      <c r="N69" s="1" t="s">
        <v>481</v>
      </c>
      <c r="O69" s="1">
        <v>1.3</v>
      </c>
      <c r="P69" s="1" t="s">
        <v>423</v>
      </c>
      <c r="Q69" s="1">
        <v>1</v>
      </c>
      <c r="R69" s="1" t="s">
        <v>482</v>
      </c>
      <c r="S69" s="1" t="s">
        <v>406</v>
      </c>
      <c r="T69" s="1" t="s">
        <v>406</v>
      </c>
      <c r="U69" s="1" t="s">
        <v>483</v>
      </c>
      <c r="V69" s="1" t="s">
        <v>484</v>
      </c>
    </row>
    <row r="70" spans="1:22" x14ac:dyDescent="0.2">
      <c r="A70" s="1">
        <v>130</v>
      </c>
      <c r="B70" s="1" t="s">
        <v>276</v>
      </c>
      <c r="C70" s="1" t="s">
        <v>266</v>
      </c>
      <c r="D70" s="1" t="s">
        <v>477</v>
      </c>
      <c r="E70" s="1" t="s">
        <v>478</v>
      </c>
      <c r="F70" s="1">
        <v>1712</v>
      </c>
      <c r="G70" s="1" t="s">
        <v>17</v>
      </c>
      <c r="H70" s="1" t="s">
        <v>423</v>
      </c>
      <c r="I70" s="1" t="s">
        <v>404</v>
      </c>
      <c r="J70" s="1" t="s">
        <v>424</v>
      </c>
      <c r="K70" s="1">
        <v>11.89</v>
      </c>
      <c r="L70" s="1" t="s">
        <v>479</v>
      </c>
      <c r="M70" s="1" t="s">
        <v>480</v>
      </c>
      <c r="N70" s="1" t="s">
        <v>481</v>
      </c>
      <c r="O70" s="1">
        <v>11.89</v>
      </c>
      <c r="P70" s="1" t="s">
        <v>423</v>
      </c>
      <c r="Q70" s="1">
        <v>1</v>
      </c>
      <c r="R70" s="1" t="s">
        <v>482</v>
      </c>
      <c r="S70" s="1" t="s">
        <v>406</v>
      </c>
      <c r="T70" s="1" t="s">
        <v>406</v>
      </c>
      <c r="U70" s="1" t="s">
        <v>483</v>
      </c>
      <c r="V70" s="1" t="s">
        <v>484</v>
      </c>
    </row>
    <row r="71" spans="1:22" x14ac:dyDescent="0.2">
      <c r="A71" s="1">
        <v>130</v>
      </c>
      <c r="B71" s="1" t="s">
        <v>276</v>
      </c>
      <c r="C71" s="1" t="s">
        <v>266</v>
      </c>
      <c r="D71" s="1" t="s">
        <v>477</v>
      </c>
      <c r="E71" s="1" t="s">
        <v>478</v>
      </c>
      <c r="F71" s="1">
        <v>1712</v>
      </c>
      <c r="G71" s="1" t="s">
        <v>22</v>
      </c>
      <c r="H71" s="1" t="s">
        <v>423</v>
      </c>
      <c r="I71" s="1" t="s">
        <v>404</v>
      </c>
      <c r="J71" s="1" t="s">
        <v>424</v>
      </c>
      <c r="K71" s="1">
        <v>169</v>
      </c>
      <c r="L71" s="1" t="s">
        <v>479</v>
      </c>
      <c r="M71" s="1" t="s">
        <v>480</v>
      </c>
      <c r="N71" s="1" t="s">
        <v>481</v>
      </c>
      <c r="O71" s="1">
        <v>169</v>
      </c>
      <c r="P71" s="1" t="s">
        <v>423</v>
      </c>
      <c r="Q71" s="1">
        <v>1</v>
      </c>
      <c r="R71" s="1" t="s">
        <v>482</v>
      </c>
      <c r="S71" s="1" t="s">
        <v>406</v>
      </c>
      <c r="T71" s="1" t="s">
        <v>406</v>
      </c>
      <c r="U71" s="1" t="s">
        <v>483</v>
      </c>
      <c r="V71" s="1" t="s">
        <v>484</v>
      </c>
    </row>
    <row r="72" spans="1:22" x14ac:dyDescent="0.2">
      <c r="A72" s="1">
        <v>130</v>
      </c>
      <c r="B72" s="1" t="s">
        <v>276</v>
      </c>
      <c r="C72" s="1" t="s">
        <v>266</v>
      </c>
      <c r="D72" s="1" t="s">
        <v>477</v>
      </c>
      <c r="E72" s="1" t="s">
        <v>478</v>
      </c>
      <c r="F72" s="1">
        <v>1712</v>
      </c>
      <c r="G72" s="1" t="s">
        <v>23</v>
      </c>
      <c r="H72" s="1" t="s">
        <v>423</v>
      </c>
      <c r="I72" s="1" t="s">
        <v>404</v>
      </c>
      <c r="J72" s="1" t="s">
        <v>424</v>
      </c>
      <c r="K72" s="1">
        <v>1609</v>
      </c>
      <c r="L72" s="1" t="s">
        <v>479</v>
      </c>
      <c r="M72" s="1" t="s">
        <v>480</v>
      </c>
      <c r="N72" s="1" t="s">
        <v>481</v>
      </c>
      <c r="O72" s="1">
        <v>1609</v>
      </c>
      <c r="P72" s="1" t="s">
        <v>423</v>
      </c>
      <c r="Q72" s="1">
        <v>1</v>
      </c>
      <c r="R72" s="1" t="s">
        <v>482</v>
      </c>
      <c r="S72" s="1" t="s">
        <v>406</v>
      </c>
      <c r="T72" s="1" t="s">
        <v>406</v>
      </c>
      <c r="U72" s="1" t="s">
        <v>483</v>
      </c>
      <c r="V72" s="1" t="s">
        <v>484</v>
      </c>
    </row>
    <row r="73" spans="1:22" x14ac:dyDescent="0.2">
      <c r="A73" s="1">
        <v>130</v>
      </c>
      <c r="B73" s="1" t="s">
        <v>276</v>
      </c>
      <c r="C73" s="1" t="s">
        <v>266</v>
      </c>
      <c r="D73" s="1" t="s">
        <v>477</v>
      </c>
      <c r="E73" s="1" t="s">
        <v>478</v>
      </c>
      <c r="F73" s="1">
        <v>1712</v>
      </c>
      <c r="G73" s="1" t="s">
        <v>13</v>
      </c>
      <c r="H73" s="1" t="s">
        <v>403</v>
      </c>
      <c r="I73" s="1" t="s">
        <v>404</v>
      </c>
      <c r="J73" s="1" t="s">
        <v>405</v>
      </c>
      <c r="K73" s="1">
        <v>0</v>
      </c>
      <c r="L73" s="1" t="s">
        <v>406</v>
      </c>
      <c r="M73" s="1" t="s">
        <v>407</v>
      </c>
      <c r="N73" s="1" t="s">
        <v>408</v>
      </c>
      <c r="O73" s="1" t="s">
        <v>489</v>
      </c>
      <c r="P73" s="1" t="s">
        <v>403</v>
      </c>
      <c r="Q73" s="1">
        <v>1</v>
      </c>
      <c r="R73" s="1" t="s">
        <v>410</v>
      </c>
      <c r="S73" s="1" t="s">
        <v>411</v>
      </c>
      <c r="T73" s="1" t="s">
        <v>412</v>
      </c>
      <c r="U73" s="1" t="s">
        <v>483</v>
      </c>
      <c r="V73" s="1" t="s">
        <v>414</v>
      </c>
    </row>
    <row r="74" spans="1:22" x14ac:dyDescent="0.2">
      <c r="A74" s="1">
        <v>130</v>
      </c>
      <c r="B74" s="1" t="s">
        <v>276</v>
      </c>
      <c r="C74" s="1" t="s">
        <v>266</v>
      </c>
      <c r="D74" s="1" t="s">
        <v>477</v>
      </c>
      <c r="E74" s="1" t="s">
        <v>478</v>
      </c>
      <c r="F74" s="1">
        <v>1712</v>
      </c>
      <c r="G74" s="1" t="s">
        <v>16</v>
      </c>
      <c r="H74" s="1" t="s">
        <v>423</v>
      </c>
      <c r="I74" s="1" t="s">
        <v>404</v>
      </c>
      <c r="J74" s="1" t="s">
        <v>424</v>
      </c>
      <c r="K74" s="1">
        <v>0</v>
      </c>
      <c r="L74" s="1" t="s">
        <v>479</v>
      </c>
      <c r="M74" s="1" t="s">
        <v>480</v>
      </c>
      <c r="N74" s="1" t="s">
        <v>481</v>
      </c>
      <c r="O74" s="1" t="s">
        <v>490</v>
      </c>
      <c r="P74" s="1" t="s">
        <v>423</v>
      </c>
      <c r="Q74" s="1" t="s">
        <v>491</v>
      </c>
      <c r="R74" s="1" t="s">
        <v>482</v>
      </c>
      <c r="S74" s="1" t="s">
        <v>406</v>
      </c>
      <c r="T74" s="1" t="s">
        <v>406</v>
      </c>
      <c r="U74" s="1" t="s">
        <v>483</v>
      </c>
      <c r="V74" s="1" t="s">
        <v>492</v>
      </c>
    </row>
    <row r="75" spans="1:22" x14ac:dyDescent="0.2">
      <c r="A75" s="1">
        <v>130</v>
      </c>
      <c r="B75" s="1" t="s">
        <v>276</v>
      </c>
      <c r="C75" s="1" t="s">
        <v>266</v>
      </c>
      <c r="D75" s="1" t="s">
        <v>477</v>
      </c>
      <c r="E75" s="1" t="s">
        <v>478</v>
      </c>
      <c r="F75" s="1">
        <v>1712</v>
      </c>
      <c r="G75" s="1" t="s">
        <v>15</v>
      </c>
      <c r="H75" s="1" t="s">
        <v>423</v>
      </c>
      <c r="I75" s="1" t="s">
        <v>404</v>
      </c>
      <c r="J75" s="1" t="s">
        <v>424</v>
      </c>
      <c r="K75" s="1">
        <v>0</v>
      </c>
      <c r="L75" s="1" t="s">
        <v>479</v>
      </c>
      <c r="M75" s="1" t="s">
        <v>480</v>
      </c>
      <c r="N75" s="1" t="s">
        <v>481</v>
      </c>
      <c r="O75" s="1" t="s">
        <v>490</v>
      </c>
      <c r="P75" s="1" t="s">
        <v>423</v>
      </c>
      <c r="Q75" s="1" t="s">
        <v>491</v>
      </c>
      <c r="R75" s="1" t="s">
        <v>482</v>
      </c>
      <c r="S75" s="1" t="s">
        <v>406</v>
      </c>
      <c r="T75" s="1" t="s">
        <v>406</v>
      </c>
      <c r="U75" s="1" t="s">
        <v>483</v>
      </c>
      <c r="V75" s="1" t="s">
        <v>492</v>
      </c>
    </row>
    <row r="76" spans="1:22" x14ac:dyDescent="0.2">
      <c r="A76" s="1">
        <v>130</v>
      </c>
      <c r="B76" s="1" t="s">
        <v>276</v>
      </c>
      <c r="C76" s="1" t="s">
        <v>266</v>
      </c>
      <c r="D76" s="1" t="s">
        <v>477</v>
      </c>
      <c r="E76" s="1" t="s">
        <v>478</v>
      </c>
      <c r="F76" s="1">
        <v>1712</v>
      </c>
      <c r="G76" s="1" t="s">
        <v>18</v>
      </c>
      <c r="H76" s="1" t="s">
        <v>423</v>
      </c>
      <c r="I76" s="1" t="s">
        <v>404</v>
      </c>
      <c r="J76" s="1" t="s">
        <v>424</v>
      </c>
      <c r="K76" s="1">
        <v>0</v>
      </c>
      <c r="L76" s="1" t="s">
        <v>479</v>
      </c>
      <c r="M76" s="1" t="s">
        <v>480</v>
      </c>
      <c r="N76" s="1" t="s">
        <v>481</v>
      </c>
      <c r="O76" s="1" t="s">
        <v>490</v>
      </c>
      <c r="P76" s="1" t="s">
        <v>423</v>
      </c>
      <c r="Q76" s="1" t="s">
        <v>491</v>
      </c>
      <c r="R76" s="1" t="s">
        <v>482</v>
      </c>
      <c r="S76" s="1" t="s">
        <v>406</v>
      </c>
      <c r="T76" s="1" t="s">
        <v>406</v>
      </c>
      <c r="U76" s="1" t="s">
        <v>483</v>
      </c>
      <c r="V76" s="1" t="s">
        <v>492</v>
      </c>
    </row>
    <row r="77" spans="1:22" x14ac:dyDescent="0.2">
      <c r="A77" s="1">
        <v>130</v>
      </c>
      <c r="B77" s="1" t="s">
        <v>276</v>
      </c>
      <c r="C77" s="1" t="s">
        <v>266</v>
      </c>
      <c r="D77" s="1" t="s">
        <v>477</v>
      </c>
      <c r="E77" s="1" t="s">
        <v>478</v>
      </c>
      <c r="F77" s="1">
        <v>1712</v>
      </c>
      <c r="G77" s="1" t="s">
        <v>25</v>
      </c>
      <c r="H77" s="1" t="s">
        <v>423</v>
      </c>
      <c r="I77" s="1" t="s">
        <v>404</v>
      </c>
      <c r="J77" s="1" t="s">
        <v>424</v>
      </c>
      <c r="K77" s="1">
        <v>0.5</v>
      </c>
      <c r="L77" s="1" t="s">
        <v>479</v>
      </c>
      <c r="M77" s="1" t="s">
        <v>480</v>
      </c>
      <c r="N77" s="1" t="s">
        <v>481</v>
      </c>
      <c r="O77" s="1">
        <v>0.5</v>
      </c>
      <c r="P77" s="1" t="s">
        <v>423</v>
      </c>
      <c r="Q77" s="1">
        <v>1</v>
      </c>
      <c r="R77" s="1" t="s">
        <v>482</v>
      </c>
      <c r="S77" s="1" t="s">
        <v>406</v>
      </c>
      <c r="T77" s="1" t="s">
        <v>406</v>
      </c>
      <c r="U77" s="1" t="s">
        <v>483</v>
      </c>
      <c r="V77" s="1" t="s">
        <v>484</v>
      </c>
    </row>
    <row r="78" spans="1:22" x14ac:dyDescent="0.2">
      <c r="A78">
        <v>130</v>
      </c>
      <c r="B78" t="s">
        <v>276</v>
      </c>
      <c r="C78" t="s">
        <v>266</v>
      </c>
      <c r="D78" t="s">
        <v>477</v>
      </c>
      <c r="E78" t="s">
        <v>478</v>
      </c>
      <c r="F78">
        <v>1712</v>
      </c>
      <c r="G78" t="s">
        <v>6</v>
      </c>
      <c r="H78" t="s">
        <v>493</v>
      </c>
      <c r="I78" t="s">
        <v>404</v>
      </c>
      <c r="J78" t="s">
        <v>424</v>
      </c>
      <c r="K78">
        <v>419</v>
      </c>
      <c r="L78" s="1" t="s">
        <v>479</v>
      </c>
      <c r="M78" t="s">
        <v>480</v>
      </c>
      <c r="N78" s="1" t="s">
        <v>481</v>
      </c>
      <c r="O78">
        <v>419</v>
      </c>
      <c r="P78" t="s">
        <v>493</v>
      </c>
      <c r="Q78">
        <v>1</v>
      </c>
      <c r="R78" s="1" t="s">
        <v>482</v>
      </c>
      <c r="S78" s="1" t="s">
        <v>406</v>
      </c>
      <c r="T78" s="1" t="s">
        <v>406</v>
      </c>
      <c r="U78" s="1" t="s">
        <v>494</v>
      </c>
      <c r="V78" s="1" t="s">
        <v>495</v>
      </c>
    </row>
    <row r="79" spans="1:22" x14ac:dyDescent="0.2">
      <c r="A79">
        <v>130</v>
      </c>
      <c r="B79" t="s">
        <v>276</v>
      </c>
      <c r="C79" t="s">
        <v>266</v>
      </c>
      <c r="D79" t="s">
        <v>477</v>
      </c>
      <c r="E79" t="s">
        <v>478</v>
      </c>
      <c r="F79">
        <v>1712</v>
      </c>
      <c r="G79" t="s">
        <v>7</v>
      </c>
      <c r="H79" t="s">
        <v>415</v>
      </c>
      <c r="I79" t="s">
        <v>404</v>
      </c>
      <c r="J79" t="s">
        <v>424</v>
      </c>
      <c r="K79">
        <v>14.7</v>
      </c>
      <c r="L79" s="1" t="s">
        <v>479</v>
      </c>
      <c r="M79" t="s">
        <v>480</v>
      </c>
      <c r="N79" s="1" t="s">
        <v>481</v>
      </c>
      <c r="O79">
        <v>14.7</v>
      </c>
      <c r="P79" t="s">
        <v>415</v>
      </c>
      <c r="Q79">
        <v>1</v>
      </c>
      <c r="R79" s="1" t="s">
        <v>482</v>
      </c>
      <c r="S79" s="1" t="s">
        <v>406</v>
      </c>
      <c r="T79" s="1" t="s">
        <v>406</v>
      </c>
      <c r="U79" s="1" t="s">
        <v>494</v>
      </c>
      <c r="V79" s="1" t="s">
        <v>495</v>
      </c>
    </row>
    <row r="80" spans="1:22" x14ac:dyDescent="0.2">
      <c r="A80">
        <v>130</v>
      </c>
      <c r="B80" t="s">
        <v>276</v>
      </c>
      <c r="C80" t="s">
        <v>266</v>
      </c>
      <c r="D80" t="s">
        <v>477</v>
      </c>
      <c r="E80" t="s">
        <v>478</v>
      </c>
      <c r="F80">
        <v>1712</v>
      </c>
      <c r="G80" t="s">
        <v>8</v>
      </c>
      <c r="H80" t="s">
        <v>415</v>
      </c>
      <c r="I80" t="s">
        <v>404</v>
      </c>
      <c r="J80" t="s">
        <v>424</v>
      </c>
      <c r="K80">
        <v>11.9</v>
      </c>
      <c r="L80" s="1" t="s">
        <v>479</v>
      </c>
      <c r="M80" t="s">
        <v>480</v>
      </c>
      <c r="N80" s="1" t="s">
        <v>481</v>
      </c>
      <c r="O80">
        <v>11.9</v>
      </c>
      <c r="P80" t="s">
        <v>415</v>
      </c>
      <c r="Q80">
        <v>1</v>
      </c>
      <c r="R80" s="1" t="s">
        <v>482</v>
      </c>
      <c r="S80" s="1" t="s">
        <v>406</v>
      </c>
      <c r="T80" s="1" t="s">
        <v>406</v>
      </c>
      <c r="U80" s="1" t="s">
        <v>494</v>
      </c>
      <c r="V80" s="1" t="s">
        <v>495</v>
      </c>
    </row>
    <row r="81" spans="1:22" ht="16" customHeight="1" x14ac:dyDescent="0.2">
      <c r="A81">
        <v>130</v>
      </c>
      <c r="B81" t="s">
        <v>276</v>
      </c>
      <c r="C81" t="s">
        <v>266</v>
      </c>
      <c r="D81" t="s">
        <v>477</v>
      </c>
      <c r="E81" t="s">
        <v>478</v>
      </c>
      <c r="F81">
        <v>1712</v>
      </c>
      <c r="G81" t="s">
        <v>9</v>
      </c>
      <c r="H81" t="s">
        <v>415</v>
      </c>
      <c r="I81" t="s">
        <v>404</v>
      </c>
      <c r="J81" t="s">
        <v>405</v>
      </c>
      <c r="K81">
        <v>0</v>
      </c>
      <c r="L81" s="11" t="s">
        <v>406</v>
      </c>
      <c r="M81" t="s">
        <v>416</v>
      </c>
      <c r="N81" s="11" t="s">
        <v>417</v>
      </c>
      <c r="O81" t="s">
        <v>418</v>
      </c>
      <c r="P81" t="s">
        <v>415</v>
      </c>
      <c r="Q81">
        <v>1</v>
      </c>
      <c r="R81" s="11" t="s">
        <v>406</v>
      </c>
      <c r="S81" s="11" t="s">
        <v>406</v>
      </c>
      <c r="T81" s="11" t="s">
        <v>406</v>
      </c>
      <c r="U81" s="11" t="s">
        <v>419</v>
      </c>
      <c r="V81" s="11" t="s">
        <v>420</v>
      </c>
    </row>
    <row r="82" spans="1:22" x14ac:dyDescent="0.2">
      <c r="A82">
        <v>130</v>
      </c>
      <c r="B82" t="s">
        <v>276</v>
      </c>
      <c r="C82" t="s">
        <v>266</v>
      </c>
      <c r="D82" t="s">
        <v>477</v>
      </c>
      <c r="E82" t="s">
        <v>478</v>
      </c>
      <c r="F82">
        <v>1712</v>
      </c>
      <c r="G82" t="s">
        <v>10</v>
      </c>
      <c r="H82" t="s">
        <v>415</v>
      </c>
      <c r="I82" t="s">
        <v>404</v>
      </c>
      <c r="J82" t="s">
        <v>424</v>
      </c>
      <c r="K82">
        <v>65.8</v>
      </c>
      <c r="L82" s="1" t="s">
        <v>479</v>
      </c>
      <c r="M82" t="s">
        <v>480</v>
      </c>
      <c r="N82" s="1" t="s">
        <v>481</v>
      </c>
      <c r="O82">
        <v>65.8</v>
      </c>
      <c r="P82" t="s">
        <v>415</v>
      </c>
      <c r="Q82">
        <v>1</v>
      </c>
      <c r="R82" s="1" t="s">
        <v>482</v>
      </c>
      <c r="S82" s="1" t="s">
        <v>406</v>
      </c>
      <c r="T82" s="1" t="s">
        <v>406</v>
      </c>
      <c r="U82" s="1" t="s">
        <v>494</v>
      </c>
      <c r="V82" s="1" t="s">
        <v>495</v>
      </c>
    </row>
    <row r="83" spans="1:22" x14ac:dyDescent="0.2">
      <c r="A83">
        <v>130</v>
      </c>
      <c r="B83" t="s">
        <v>276</v>
      </c>
      <c r="C83" t="s">
        <v>266</v>
      </c>
      <c r="D83" t="s">
        <v>477</v>
      </c>
      <c r="E83" t="s">
        <v>478</v>
      </c>
      <c r="F83">
        <v>1712</v>
      </c>
      <c r="G83" t="s">
        <v>11</v>
      </c>
      <c r="H83" t="s">
        <v>415</v>
      </c>
      <c r="I83" t="s">
        <v>404</v>
      </c>
      <c r="J83" t="s">
        <v>424</v>
      </c>
      <c r="K83">
        <v>51.2</v>
      </c>
      <c r="L83" s="1" t="s">
        <v>479</v>
      </c>
      <c r="M83" t="s">
        <v>480</v>
      </c>
      <c r="N83" s="1" t="s">
        <v>481</v>
      </c>
      <c r="O83">
        <v>51.2</v>
      </c>
      <c r="P83" t="s">
        <v>415</v>
      </c>
      <c r="Q83">
        <v>1</v>
      </c>
      <c r="R83" s="1" t="s">
        <v>482</v>
      </c>
      <c r="S83" s="1" t="s">
        <v>406</v>
      </c>
      <c r="T83" s="1" t="s">
        <v>406</v>
      </c>
      <c r="U83" s="1" t="s">
        <v>494</v>
      </c>
      <c r="V83" s="1" t="s">
        <v>495</v>
      </c>
    </row>
    <row r="84" spans="1:22" x14ac:dyDescent="0.2">
      <c r="A84">
        <v>130</v>
      </c>
      <c r="B84" t="s">
        <v>276</v>
      </c>
      <c r="C84" t="s">
        <v>266</v>
      </c>
      <c r="D84" t="s">
        <v>477</v>
      </c>
      <c r="E84" t="s">
        <v>478</v>
      </c>
      <c r="F84">
        <v>1712</v>
      </c>
      <c r="G84" t="s">
        <v>19</v>
      </c>
      <c r="H84" t="s">
        <v>423</v>
      </c>
      <c r="I84" t="s">
        <v>404</v>
      </c>
      <c r="J84" t="s">
        <v>424</v>
      </c>
      <c r="K84">
        <v>107</v>
      </c>
      <c r="L84" s="1" t="s">
        <v>479</v>
      </c>
      <c r="M84" t="s">
        <v>480</v>
      </c>
      <c r="N84" s="1" t="s">
        <v>481</v>
      </c>
      <c r="O84">
        <v>107</v>
      </c>
      <c r="P84" t="s">
        <v>423</v>
      </c>
      <c r="Q84">
        <v>1</v>
      </c>
      <c r="R84" s="1" t="s">
        <v>482</v>
      </c>
      <c r="S84" s="1" t="s">
        <v>406</v>
      </c>
      <c r="T84" s="1" t="s">
        <v>406</v>
      </c>
      <c r="U84" s="1" t="s">
        <v>494</v>
      </c>
      <c r="V84" s="1" t="s">
        <v>495</v>
      </c>
    </row>
    <row r="85" spans="1:22" x14ac:dyDescent="0.2">
      <c r="A85">
        <v>130</v>
      </c>
      <c r="B85" t="s">
        <v>276</v>
      </c>
      <c r="C85" t="s">
        <v>266</v>
      </c>
      <c r="D85" t="s">
        <v>477</v>
      </c>
      <c r="E85" t="s">
        <v>478</v>
      </c>
      <c r="F85">
        <v>1712</v>
      </c>
      <c r="G85" t="s">
        <v>21</v>
      </c>
      <c r="H85" t="s">
        <v>423</v>
      </c>
      <c r="I85" t="s">
        <v>404</v>
      </c>
      <c r="J85" t="s">
        <v>424</v>
      </c>
      <c r="K85">
        <v>8.1</v>
      </c>
      <c r="L85" s="1" t="s">
        <v>479</v>
      </c>
      <c r="M85" t="s">
        <v>480</v>
      </c>
      <c r="N85" s="1" t="s">
        <v>481</v>
      </c>
      <c r="O85">
        <v>8.1</v>
      </c>
      <c r="P85" t="s">
        <v>423</v>
      </c>
      <c r="Q85">
        <v>1</v>
      </c>
      <c r="R85" s="1" t="s">
        <v>482</v>
      </c>
      <c r="S85" s="1" t="s">
        <v>406</v>
      </c>
      <c r="T85" s="1" t="s">
        <v>406</v>
      </c>
      <c r="U85" s="1" t="s">
        <v>494</v>
      </c>
      <c r="V85" s="1" t="s">
        <v>495</v>
      </c>
    </row>
    <row r="86" spans="1:22" x14ac:dyDescent="0.2">
      <c r="A86">
        <v>130</v>
      </c>
      <c r="B86" t="s">
        <v>276</v>
      </c>
      <c r="C86" t="s">
        <v>266</v>
      </c>
      <c r="D86" t="s">
        <v>477</v>
      </c>
      <c r="E86" t="s">
        <v>478</v>
      </c>
      <c r="F86">
        <v>1712</v>
      </c>
      <c r="G86" t="s">
        <v>24</v>
      </c>
      <c r="H86" t="s">
        <v>423</v>
      </c>
      <c r="I86" t="s">
        <v>404</v>
      </c>
      <c r="J86" t="s">
        <v>424</v>
      </c>
      <c r="K86">
        <v>1</v>
      </c>
      <c r="L86" s="1" t="s">
        <v>479</v>
      </c>
      <c r="M86" t="s">
        <v>480</v>
      </c>
      <c r="N86" s="1" t="s">
        <v>481</v>
      </c>
      <c r="O86">
        <v>1</v>
      </c>
      <c r="P86" t="s">
        <v>423</v>
      </c>
      <c r="Q86">
        <v>1</v>
      </c>
      <c r="R86" s="1" t="s">
        <v>482</v>
      </c>
      <c r="S86" s="1" t="s">
        <v>406</v>
      </c>
      <c r="T86" s="1" t="s">
        <v>406</v>
      </c>
      <c r="U86" s="1" t="s">
        <v>494</v>
      </c>
      <c r="V86" s="1" t="s">
        <v>495</v>
      </c>
    </row>
    <row r="87" spans="1:22" x14ac:dyDescent="0.2">
      <c r="A87">
        <v>130</v>
      </c>
      <c r="B87" t="s">
        <v>276</v>
      </c>
      <c r="C87" t="s">
        <v>266</v>
      </c>
      <c r="D87" t="s">
        <v>477</v>
      </c>
      <c r="E87" t="s">
        <v>478</v>
      </c>
      <c r="F87">
        <v>1712</v>
      </c>
      <c r="G87" t="s">
        <v>26</v>
      </c>
      <c r="H87" t="s">
        <v>496</v>
      </c>
      <c r="I87" t="s">
        <v>404</v>
      </c>
      <c r="J87" t="s">
        <v>424</v>
      </c>
      <c r="K87">
        <v>100</v>
      </c>
      <c r="L87" s="1" t="s">
        <v>406</v>
      </c>
      <c r="M87" t="s">
        <v>416</v>
      </c>
      <c r="N87" s="1" t="s">
        <v>497</v>
      </c>
      <c r="O87" t="s">
        <v>498</v>
      </c>
      <c r="P87" t="s">
        <v>496</v>
      </c>
      <c r="Q87">
        <v>1</v>
      </c>
      <c r="R87" s="1" t="s">
        <v>406</v>
      </c>
      <c r="S87" s="1" t="s">
        <v>406</v>
      </c>
      <c r="T87" s="1" t="s">
        <v>406</v>
      </c>
      <c r="U87" s="1" t="s">
        <v>499</v>
      </c>
      <c r="V87" s="1" t="s">
        <v>500</v>
      </c>
    </row>
    <row r="88" spans="1:22" x14ac:dyDescent="0.2">
      <c r="A88" s="1">
        <v>131</v>
      </c>
      <c r="B88" s="1" t="s">
        <v>279</v>
      </c>
      <c r="C88" s="1" t="s">
        <v>266</v>
      </c>
      <c r="D88" s="1" t="s">
        <v>31</v>
      </c>
      <c r="E88" s="1" t="s">
        <v>501</v>
      </c>
      <c r="F88" s="1">
        <v>1172</v>
      </c>
      <c r="G88" s="1" t="s">
        <v>13</v>
      </c>
      <c r="H88" s="1" t="s">
        <v>403</v>
      </c>
      <c r="I88" s="1" t="s">
        <v>404</v>
      </c>
      <c r="J88" s="1" t="s">
        <v>405</v>
      </c>
      <c r="K88" s="1">
        <v>0</v>
      </c>
      <c r="L88" s="1" t="s">
        <v>406</v>
      </c>
      <c r="M88" s="1" t="s">
        <v>407</v>
      </c>
      <c r="N88" s="1" t="s">
        <v>408</v>
      </c>
      <c r="O88" s="1" t="s">
        <v>409</v>
      </c>
      <c r="P88" s="1" t="s">
        <v>403</v>
      </c>
      <c r="Q88" s="1">
        <v>1</v>
      </c>
      <c r="R88" s="1" t="s">
        <v>410</v>
      </c>
      <c r="S88" s="1" t="s">
        <v>411</v>
      </c>
      <c r="T88" s="1" t="s">
        <v>412</v>
      </c>
      <c r="U88" s="1" t="s">
        <v>413</v>
      </c>
      <c r="V88" s="1" t="s">
        <v>414</v>
      </c>
    </row>
    <row r="89" spans="1:22" ht="16" customHeight="1" x14ac:dyDescent="0.2">
      <c r="A89">
        <v>131</v>
      </c>
      <c r="B89" t="s">
        <v>279</v>
      </c>
      <c r="C89" t="s">
        <v>266</v>
      </c>
      <c r="D89" t="s">
        <v>31</v>
      </c>
      <c r="E89" t="s">
        <v>501</v>
      </c>
      <c r="F89">
        <v>1172</v>
      </c>
      <c r="G89" t="s">
        <v>9</v>
      </c>
      <c r="H89" t="s">
        <v>415</v>
      </c>
      <c r="I89" t="s">
        <v>404</v>
      </c>
      <c r="J89" t="s">
        <v>405</v>
      </c>
      <c r="K89">
        <v>0</v>
      </c>
      <c r="L89" s="11" t="s">
        <v>406</v>
      </c>
      <c r="M89" t="s">
        <v>416</v>
      </c>
      <c r="N89" s="11" t="s">
        <v>417</v>
      </c>
      <c r="O89" t="s">
        <v>418</v>
      </c>
      <c r="P89" t="s">
        <v>415</v>
      </c>
      <c r="Q89">
        <v>1</v>
      </c>
      <c r="R89" s="11" t="s">
        <v>406</v>
      </c>
      <c r="S89" s="11" t="s">
        <v>406</v>
      </c>
      <c r="T89" s="11" t="s">
        <v>406</v>
      </c>
      <c r="U89" s="11" t="s">
        <v>419</v>
      </c>
      <c r="V89" s="11" t="s">
        <v>420</v>
      </c>
    </row>
    <row r="90" spans="1:22" x14ac:dyDescent="0.2">
      <c r="A90">
        <v>134</v>
      </c>
      <c r="B90" t="s">
        <v>284</v>
      </c>
      <c r="C90" t="s">
        <v>282</v>
      </c>
      <c r="D90" t="s">
        <v>477</v>
      </c>
      <c r="E90" t="s">
        <v>502</v>
      </c>
      <c r="F90">
        <v>5120</v>
      </c>
      <c r="G90" t="s">
        <v>6</v>
      </c>
      <c r="H90" t="s">
        <v>493</v>
      </c>
      <c r="I90" t="s">
        <v>404</v>
      </c>
      <c r="J90" t="s">
        <v>424</v>
      </c>
      <c r="K90">
        <v>0</v>
      </c>
      <c r="L90" s="1" t="s">
        <v>503</v>
      </c>
      <c r="M90" t="s">
        <v>504</v>
      </c>
      <c r="N90" s="1" t="s">
        <v>505</v>
      </c>
      <c r="O90">
        <v>0</v>
      </c>
      <c r="P90" t="s">
        <v>493</v>
      </c>
      <c r="Q90">
        <v>1</v>
      </c>
      <c r="R90" s="1" t="s">
        <v>506</v>
      </c>
      <c r="S90" s="1" t="s">
        <v>406</v>
      </c>
      <c r="T90" s="1" t="s">
        <v>406</v>
      </c>
      <c r="U90" s="1" t="s">
        <v>507</v>
      </c>
      <c r="V90" s="1" t="s">
        <v>508</v>
      </c>
    </row>
    <row r="91" spans="1:22" x14ac:dyDescent="0.2">
      <c r="A91">
        <v>134</v>
      </c>
      <c r="B91" t="s">
        <v>284</v>
      </c>
      <c r="C91" t="s">
        <v>282</v>
      </c>
      <c r="D91" t="s">
        <v>477</v>
      </c>
      <c r="E91" t="s">
        <v>502</v>
      </c>
      <c r="F91">
        <v>5120</v>
      </c>
      <c r="G91" t="s">
        <v>7</v>
      </c>
      <c r="H91" t="s">
        <v>415</v>
      </c>
      <c r="I91" t="s">
        <v>404</v>
      </c>
      <c r="J91" t="s">
        <v>424</v>
      </c>
      <c r="K91">
        <v>0</v>
      </c>
      <c r="L91" s="1" t="s">
        <v>503</v>
      </c>
      <c r="M91" t="s">
        <v>504</v>
      </c>
      <c r="N91" s="1" t="s">
        <v>505</v>
      </c>
      <c r="O91">
        <v>0</v>
      </c>
      <c r="P91" t="s">
        <v>415</v>
      </c>
      <c r="Q91">
        <v>1</v>
      </c>
      <c r="R91" s="1" t="s">
        <v>506</v>
      </c>
      <c r="S91" s="1" t="s">
        <v>406</v>
      </c>
      <c r="T91" s="1" t="s">
        <v>406</v>
      </c>
      <c r="U91" s="1" t="s">
        <v>507</v>
      </c>
      <c r="V91" s="1" t="s">
        <v>508</v>
      </c>
    </row>
    <row r="92" spans="1:22" x14ac:dyDescent="0.2">
      <c r="A92">
        <v>134</v>
      </c>
      <c r="B92" t="s">
        <v>284</v>
      </c>
      <c r="C92" t="s">
        <v>282</v>
      </c>
      <c r="D92" t="s">
        <v>477</v>
      </c>
      <c r="E92" t="s">
        <v>502</v>
      </c>
      <c r="F92">
        <v>5120</v>
      </c>
      <c r="G92" t="s">
        <v>8</v>
      </c>
      <c r="H92" t="s">
        <v>415</v>
      </c>
      <c r="I92" t="s">
        <v>404</v>
      </c>
      <c r="J92" t="s">
        <v>424</v>
      </c>
      <c r="K92">
        <v>0</v>
      </c>
      <c r="L92" s="1" t="s">
        <v>503</v>
      </c>
      <c r="M92" t="s">
        <v>504</v>
      </c>
      <c r="N92" s="1" t="s">
        <v>505</v>
      </c>
      <c r="O92">
        <v>0</v>
      </c>
      <c r="P92" t="s">
        <v>415</v>
      </c>
      <c r="Q92">
        <v>1</v>
      </c>
      <c r="R92" s="1" t="s">
        <v>506</v>
      </c>
      <c r="S92" s="1" t="s">
        <v>406</v>
      </c>
      <c r="T92" s="1" t="s">
        <v>406</v>
      </c>
      <c r="U92" s="1" t="s">
        <v>507</v>
      </c>
      <c r="V92" s="1" t="s">
        <v>508</v>
      </c>
    </row>
    <row r="93" spans="1:22" ht="16" customHeight="1" x14ac:dyDescent="0.2">
      <c r="A93">
        <v>134</v>
      </c>
      <c r="B93" t="s">
        <v>284</v>
      </c>
      <c r="C93" t="s">
        <v>282</v>
      </c>
      <c r="D93" t="s">
        <v>477</v>
      </c>
      <c r="E93" t="s">
        <v>502</v>
      </c>
      <c r="F93">
        <v>5120</v>
      </c>
      <c r="G93" t="s">
        <v>9</v>
      </c>
      <c r="H93" t="s">
        <v>415</v>
      </c>
      <c r="I93" t="s">
        <v>404</v>
      </c>
      <c r="J93" t="s">
        <v>405</v>
      </c>
      <c r="K93">
        <v>0</v>
      </c>
      <c r="L93" s="11" t="s">
        <v>406</v>
      </c>
      <c r="M93" t="s">
        <v>416</v>
      </c>
      <c r="N93" s="11" t="s">
        <v>417</v>
      </c>
      <c r="O93" t="s">
        <v>418</v>
      </c>
      <c r="P93" t="s">
        <v>415</v>
      </c>
      <c r="Q93">
        <v>1</v>
      </c>
      <c r="R93" s="11" t="s">
        <v>406</v>
      </c>
      <c r="S93" s="11" t="s">
        <v>406</v>
      </c>
      <c r="T93" s="11" t="s">
        <v>406</v>
      </c>
      <c r="U93" s="11" t="s">
        <v>419</v>
      </c>
      <c r="V93" s="11" t="s">
        <v>420</v>
      </c>
    </row>
    <row r="94" spans="1:22" x14ac:dyDescent="0.2">
      <c r="A94">
        <v>134</v>
      </c>
      <c r="B94" t="s">
        <v>284</v>
      </c>
      <c r="C94" t="s">
        <v>282</v>
      </c>
      <c r="D94" t="s">
        <v>477</v>
      </c>
      <c r="E94" t="s">
        <v>502</v>
      </c>
      <c r="F94">
        <v>5120</v>
      </c>
      <c r="G94" t="s">
        <v>10</v>
      </c>
      <c r="H94" t="s">
        <v>415</v>
      </c>
      <c r="I94" t="s">
        <v>404</v>
      </c>
      <c r="J94" t="s">
        <v>424</v>
      </c>
      <c r="K94">
        <v>0</v>
      </c>
      <c r="L94" s="1" t="s">
        <v>503</v>
      </c>
      <c r="M94" t="s">
        <v>504</v>
      </c>
      <c r="N94" s="1" t="s">
        <v>505</v>
      </c>
      <c r="O94">
        <v>0</v>
      </c>
      <c r="P94" t="s">
        <v>415</v>
      </c>
      <c r="Q94">
        <v>1</v>
      </c>
      <c r="R94" s="1" t="s">
        <v>506</v>
      </c>
      <c r="S94" s="1" t="s">
        <v>406</v>
      </c>
      <c r="T94" s="1" t="s">
        <v>406</v>
      </c>
      <c r="U94" s="1" t="s">
        <v>507</v>
      </c>
      <c r="V94" s="1" t="s">
        <v>508</v>
      </c>
    </row>
    <row r="95" spans="1:22" x14ac:dyDescent="0.2">
      <c r="A95">
        <v>134</v>
      </c>
      <c r="B95" t="s">
        <v>284</v>
      </c>
      <c r="C95" t="s">
        <v>282</v>
      </c>
      <c r="D95" t="s">
        <v>477</v>
      </c>
      <c r="E95" t="s">
        <v>502</v>
      </c>
      <c r="F95">
        <v>5120</v>
      </c>
      <c r="G95" t="s">
        <v>11</v>
      </c>
      <c r="H95" t="s">
        <v>415</v>
      </c>
      <c r="I95" t="s">
        <v>404</v>
      </c>
      <c r="J95" t="s">
        <v>424</v>
      </c>
      <c r="K95">
        <v>0</v>
      </c>
      <c r="L95" s="1" t="s">
        <v>503</v>
      </c>
      <c r="M95" t="s">
        <v>504</v>
      </c>
      <c r="N95" s="1" t="s">
        <v>505</v>
      </c>
      <c r="O95">
        <v>0</v>
      </c>
      <c r="P95" t="s">
        <v>415</v>
      </c>
      <c r="Q95">
        <v>1</v>
      </c>
      <c r="R95" s="1" t="s">
        <v>506</v>
      </c>
      <c r="S95" s="1" t="s">
        <v>406</v>
      </c>
      <c r="T95" s="1" t="s">
        <v>406</v>
      </c>
      <c r="U95" s="1" t="s">
        <v>507</v>
      </c>
      <c r="V95" s="1" t="s">
        <v>508</v>
      </c>
    </row>
    <row r="96" spans="1:22" x14ac:dyDescent="0.2">
      <c r="A96">
        <v>134</v>
      </c>
      <c r="B96" t="s">
        <v>284</v>
      </c>
      <c r="C96" t="s">
        <v>282</v>
      </c>
      <c r="D96" t="s">
        <v>477</v>
      </c>
      <c r="E96" t="s">
        <v>502</v>
      </c>
      <c r="F96">
        <v>5120</v>
      </c>
      <c r="G96" t="s">
        <v>12</v>
      </c>
      <c r="H96" t="s">
        <v>415</v>
      </c>
      <c r="I96" t="s">
        <v>404</v>
      </c>
      <c r="J96" t="s">
        <v>424</v>
      </c>
      <c r="K96">
        <v>99</v>
      </c>
      <c r="L96" s="1" t="s">
        <v>503</v>
      </c>
      <c r="M96" t="s">
        <v>504</v>
      </c>
      <c r="N96" s="1" t="s">
        <v>505</v>
      </c>
      <c r="O96">
        <v>99</v>
      </c>
      <c r="P96" t="s">
        <v>415</v>
      </c>
      <c r="Q96">
        <v>1</v>
      </c>
      <c r="R96" s="1" t="s">
        <v>506</v>
      </c>
      <c r="S96" s="1" t="s">
        <v>406</v>
      </c>
      <c r="T96" s="1" t="s">
        <v>406</v>
      </c>
      <c r="U96" s="1" t="s">
        <v>507</v>
      </c>
      <c r="V96" s="1" t="s">
        <v>508</v>
      </c>
    </row>
    <row r="97" spans="1:22" x14ac:dyDescent="0.2">
      <c r="A97">
        <v>134</v>
      </c>
      <c r="B97" t="s">
        <v>284</v>
      </c>
      <c r="C97" t="s">
        <v>282</v>
      </c>
      <c r="D97" t="s">
        <v>477</v>
      </c>
      <c r="E97" t="s">
        <v>502</v>
      </c>
      <c r="F97">
        <v>5120</v>
      </c>
      <c r="G97" t="s">
        <v>13</v>
      </c>
      <c r="H97" t="s">
        <v>403</v>
      </c>
      <c r="I97" t="s">
        <v>404</v>
      </c>
      <c r="J97" t="s">
        <v>424</v>
      </c>
      <c r="K97">
        <v>0</v>
      </c>
      <c r="L97" s="1" t="s">
        <v>503</v>
      </c>
      <c r="M97" t="s">
        <v>504</v>
      </c>
      <c r="N97" s="1" t="s">
        <v>505</v>
      </c>
      <c r="O97">
        <v>0</v>
      </c>
      <c r="P97" t="s">
        <v>403</v>
      </c>
      <c r="Q97">
        <v>1</v>
      </c>
      <c r="R97" s="1" t="s">
        <v>506</v>
      </c>
      <c r="S97" s="1" t="s">
        <v>406</v>
      </c>
      <c r="T97" s="1" t="s">
        <v>406</v>
      </c>
      <c r="U97" s="1" t="s">
        <v>507</v>
      </c>
      <c r="V97" s="1" t="s">
        <v>508</v>
      </c>
    </row>
    <row r="98" spans="1:22" x14ac:dyDescent="0.2">
      <c r="A98">
        <v>134</v>
      </c>
      <c r="B98" t="s">
        <v>284</v>
      </c>
      <c r="C98" t="s">
        <v>282</v>
      </c>
      <c r="D98" t="s">
        <v>477</v>
      </c>
      <c r="E98" t="s">
        <v>502</v>
      </c>
      <c r="F98">
        <v>5120</v>
      </c>
      <c r="G98" t="s">
        <v>14</v>
      </c>
      <c r="H98" t="s">
        <v>403</v>
      </c>
      <c r="I98" t="s">
        <v>404</v>
      </c>
      <c r="J98" t="s">
        <v>424</v>
      </c>
      <c r="K98">
        <v>0</v>
      </c>
      <c r="L98" s="1" t="s">
        <v>503</v>
      </c>
      <c r="M98" t="s">
        <v>504</v>
      </c>
      <c r="N98" s="1" t="s">
        <v>505</v>
      </c>
      <c r="O98">
        <v>0</v>
      </c>
      <c r="P98" t="s">
        <v>403</v>
      </c>
      <c r="Q98">
        <v>1</v>
      </c>
      <c r="R98" s="1" t="s">
        <v>506</v>
      </c>
      <c r="S98" s="1" t="s">
        <v>406</v>
      </c>
      <c r="T98" s="1" t="s">
        <v>406</v>
      </c>
      <c r="U98" s="1" t="s">
        <v>507</v>
      </c>
      <c r="V98" s="1" t="s">
        <v>508</v>
      </c>
    </row>
    <row r="99" spans="1:22" x14ac:dyDescent="0.2">
      <c r="A99">
        <v>134</v>
      </c>
      <c r="B99" t="s">
        <v>284</v>
      </c>
      <c r="C99" t="s">
        <v>282</v>
      </c>
      <c r="D99" t="s">
        <v>477</v>
      </c>
      <c r="E99" t="s">
        <v>502</v>
      </c>
      <c r="F99">
        <v>5120</v>
      </c>
      <c r="G99" t="s">
        <v>15</v>
      </c>
      <c r="H99" t="s">
        <v>423</v>
      </c>
      <c r="I99" t="s">
        <v>404</v>
      </c>
      <c r="J99" t="s">
        <v>424</v>
      </c>
      <c r="K99">
        <v>0</v>
      </c>
      <c r="L99" s="1" t="s">
        <v>503</v>
      </c>
      <c r="M99" t="s">
        <v>504</v>
      </c>
      <c r="N99" s="1" t="s">
        <v>505</v>
      </c>
      <c r="O99">
        <v>0</v>
      </c>
      <c r="P99" t="s">
        <v>423</v>
      </c>
      <c r="Q99">
        <v>1</v>
      </c>
      <c r="R99" s="1" t="s">
        <v>506</v>
      </c>
      <c r="S99" s="1" t="s">
        <v>406</v>
      </c>
      <c r="T99" s="1" t="s">
        <v>406</v>
      </c>
      <c r="U99" s="1" t="s">
        <v>507</v>
      </c>
      <c r="V99" s="1" t="s">
        <v>508</v>
      </c>
    </row>
    <row r="100" spans="1:22" x14ac:dyDescent="0.2">
      <c r="A100">
        <v>134</v>
      </c>
      <c r="B100" t="s">
        <v>284</v>
      </c>
      <c r="C100" t="s">
        <v>282</v>
      </c>
      <c r="D100" t="s">
        <v>477</v>
      </c>
      <c r="E100" t="s">
        <v>502</v>
      </c>
      <c r="F100">
        <v>5120</v>
      </c>
      <c r="G100" t="s">
        <v>16</v>
      </c>
      <c r="H100" t="s">
        <v>423</v>
      </c>
      <c r="I100" t="s">
        <v>404</v>
      </c>
      <c r="J100" t="s">
        <v>424</v>
      </c>
      <c r="K100">
        <v>0</v>
      </c>
      <c r="L100" s="1" t="s">
        <v>503</v>
      </c>
      <c r="M100" t="s">
        <v>504</v>
      </c>
      <c r="N100" s="1" t="s">
        <v>505</v>
      </c>
      <c r="O100">
        <v>0</v>
      </c>
      <c r="P100" t="s">
        <v>423</v>
      </c>
      <c r="Q100">
        <v>1</v>
      </c>
      <c r="R100" s="1" t="s">
        <v>506</v>
      </c>
      <c r="S100" s="1" t="s">
        <v>406</v>
      </c>
      <c r="T100" s="1" t="s">
        <v>406</v>
      </c>
      <c r="U100" s="1" t="s">
        <v>507</v>
      </c>
      <c r="V100" s="1" t="s">
        <v>508</v>
      </c>
    </row>
    <row r="101" spans="1:22" x14ac:dyDescent="0.2">
      <c r="A101">
        <v>134</v>
      </c>
      <c r="B101" t="s">
        <v>284</v>
      </c>
      <c r="C101" t="s">
        <v>282</v>
      </c>
      <c r="D101" t="s">
        <v>477</v>
      </c>
      <c r="E101" t="s">
        <v>502</v>
      </c>
      <c r="F101">
        <v>5120</v>
      </c>
      <c r="G101" t="s">
        <v>17</v>
      </c>
      <c r="H101" t="s">
        <v>423</v>
      </c>
      <c r="I101" t="s">
        <v>404</v>
      </c>
      <c r="J101" t="s">
        <v>424</v>
      </c>
      <c r="K101">
        <v>0</v>
      </c>
      <c r="L101" s="1" t="s">
        <v>503</v>
      </c>
      <c r="M101" t="s">
        <v>504</v>
      </c>
      <c r="N101" s="1" t="s">
        <v>505</v>
      </c>
      <c r="O101">
        <v>0</v>
      </c>
      <c r="P101" t="s">
        <v>423</v>
      </c>
      <c r="Q101">
        <v>1</v>
      </c>
      <c r="R101" s="1" t="s">
        <v>506</v>
      </c>
      <c r="S101" s="1" t="s">
        <v>406</v>
      </c>
      <c r="T101" s="1" t="s">
        <v>406</v>
      </c>
      <c r="U101" s="1" t="s">
        <v>507</v>
      </c>
      <c r="V101" s="1" t="s">
        <v>508</v>
      </c>
    </row>
    <row r="102" spans="1:22" x14ac:dyDescent="0.2">
      <c r="A102">
        <v>134</v>
      </c>
      <c r="B102" t="s">
        <v>284</v>
      </c>
      <c r="C102" t="s">
        <v>282</v>
      </c>
      <c r="D102" t="s">
        <v>477</v>
      </c>
      <c r="E102" t="s">
        <v>502</v>
      </c>
      <c r="F102">
        <v>5120</v>
      </c>
      <c r="G102" t="s">
        <v>18</v>
      </c>
      <c r="H102" t="s">
        <v>423</v>
      </c>
      <c r="I102" t="s">
        <v>404</v>
      </c>
      <c r="J102" t="s">
        <v>424</v>
      </c>
      <c r="K102">
        <v>0</v>
      </c>
      <c r="L102" s="1" t="s">
        <v>503</v>
      </c>
      <c r="M102" t="s">
        <v>504</v>
      </c>
      <c r="N102" s="1" t="s">
        <v>505</v>
      </c>
      <c r="O102">
        <v>0</v>
      </c>
      <c r="P102" t="s">
        <v>423</v>
      </c>
      <c r="Q102">
        <v>1</v>
      </c>
      <c r="R102" s="1" t="s">
        <v>506</v>
      </c>
      <c r="S102" s="1" t="s">
        <v>406</v>
      </c>
      <c r="T102" s="1" t="s">
        <v>406</v>
      </c>
      <c r="U102" s="1" t="s">
        <v>507</v>
      </c>
      <c r="V102" s="1" t="s">
        <v>508</v>
      </c>
    </row>
    <row r="103" spans="1:22" x14ac:dyDescent="0.2">
      <c r="A103">
        <v>134</v>
      </c>
      <c r="B103" t="s">
        <v>284</v>
      </c>
      <c r="C103" t="s">
        <v>282</v>
      </c>
      <c r="D103" t="s">
        <v>477</v>
      </c>
      <c r="E103" t="s">
        <v>502</v>
      </c>
      <c r="F103">
        <v>5120</v>
      </c>
      <c r="G103" t="s">
        <v>19</v>
      </c>
      <c r="H103" t="s">
        <v>423</v>
      </c>
      <c r="I103" t="s">
        <v>404</v>
      </c>
      <c r="J103" t="s">
        <v>424</v>
      </c>
      <c r="K103">
        <v>50</v>
      </c>
      <c r="L103" s="1" t="s">
        <v>503</v>
      </c>
      <c r="M103" t="s">
        <v>504</v>
      </c>
      <c r="N103" s="1" t="s">
        <v>505</v>
      </c>
      <c r="O103">
        <v>50</v>
      </c>
      <c r="P103" t="s">
        <v>423</v>
      </c>
      <c r="Q103">
        <v>1</v>
      </c>
      <c r="R103" s="1" t="s">
        <v>506</v>
      </c>
      <c r="S103" s="1" t="s">
        <v>406</v>
      </c>
      <c r="T103" s="1" t="s">
        <v>406</v>
      </c>
      <c r="U103" s="1" t="s">
        <v>507</v>
      </c>
      <c r="V103" s="1" t="s">
        <v>508</v>
      </c>
    </row>
    <row r="104" spans="1:22" x14ac:dyDescent="0.2">
      <c r="A104">
        <v>134</v>
      </c>
      <c r="B104" t="s">
        <v>284</v>
      </c>
      <c r="C104" t="s">
        <v>282</v>
      </c>
      <c r="D104" t="s">
        <v>477</v>
      </c>
      <c r="E104" t="s">
        <v>502</v>
      </c>
      <c r="F104">
        <v>5120</v>
      </c>
      <c r="G104" t="s">
        <v>20</v>
      </c>
      <c r="H104" t="s">
        <v>423</v>
      </c>
      <c r="I104" t="s">
        <v>404</v>
      </c>
      <c r="J104" t="s">
        <v>424</v>
      </c>
      <c r="K104">
        <v>0</v>
      </c>
      <c r="L104" s="1" t="s">
        <v>503</v>
      </c>
      <c r="M104" t="s">
        <v>504</v>
      </c>
      <c r="N104" s="1" t="s">
        <v>505</v>
      </c>
      <c r="O104">
        <v>0</v>
      </c>
      <c r="P104" t="s">
        <v>423</v>
      </c>
      <c r="Q104">
        <v>1</v>
      </c>
      <c r="R104" s="1" t="s">
        <v>506</v>
      </c>
      <c r="S104" s="1" t="s">
        <v>406</v>
      </c>
      <c r="T104" s="1" t="s">
        <v>406</v>
      </c>
      <c r="U104" s="1" t="s">
        <v>507</v>
      </c>
      <c r="V104" s="1" t="s">
        <v>508</v>
      </c>
    </row>
    <row r="105" spans="1:22" x14ac:dyDescent="0.2">
      <c r="A105">
        <v>134</v>
      </c>
      <c r="B105" t="s">
        <v>284</v>
      </c>
      <c r="C105" t="s">
        <v>282</v>
      </c>
      <c r="D105" t="s">
        <v>477</v>
      </c>
      <c r="E105" t="s">
        <v>502</v>
      </c>
      <c r="F105">
        <v>5120</v>
      </c>
      <c r="G105" t="s">
        <v>21</v>
      </c>
      <c r="H105" t="s">
        <v>423</v>
      </c>
      <c r="I105" t="s">
        <v>404</v>
      </c>
      <c r="J105" t="s">
        <v>424</v>
      </c>
      <c r="K105">
        <v>0</v>
      </c>
      <c r="L105" s="1" t="s">
        <v>503</v>
      </c>
      <c r="M105" t="s">
        <v>504</v>
      </c>
      <c r="N105" s="1" t="s">
        <v>505</v>
      </c>
      <c r="O105">
        <v>0</v>
      </c>
      <c r="P105" t="s">
        <v>423</v>
      </c>
      <c r="Q105">
        <v>1</v>
      </c>
      <c r="R105" s="1" t="s">
        <v>506</v>
      </c>
      <c r="S105" s="1" t="s">
        <v>406</v>
      </c>
      <c r="T105" s="1" t="s">
        <v>406</v>
      </c>
      <c r="U105" s="1" t="s">
        <v>507</v>
      </c>
      <c r="V105" s="1" t="s">
        <v>508</v>
      </c>
    </row>
    <row r="106" spans="1:22" x14ac:dyDescent="0.2">
      <c r="A106">
        <v>134</v>
      </c>
      <c r="B106" t="s">
        <v>284</v>
      </c>
      <c r="C106" t="s">
        <v>282</v>
      </c>
      <c r="D106" t="s">
        <v>477</v>
      </c>
      <c r="E106" t="s">
        <v>502</v>
      </c>
      <c r="F106">
        <v>5120</v>
      </c>
      <c r="G106" t="s">
        <v>22</v>
      </c>
      <c r="H106" t="s">
        <v>423</v>
      </c>
      <c r="I106" t="s">
        <v>404</v>
      </c>
      <c r="J106" t="s">
        <v>424</v>
      </c>
      <c r="K106">
        <v>0</v>
      </c>
      <c r="L106" s="1" t="s">
        <v>503</v>
      </c>
      <c r="M106" t="s">
        <v>504</v>
      </c>
      <c r="N106" s="1" t="s">
        <v>505</v>
      </c>
      <c r="O106">
        <v>0</v>
      </c>
      <c r="P106" t="s">
        <v>423</v>
      </c>
      <c r="Q106">
        <v>1</v>
      </c>
      <c r="R106" s="1" t="s">
        <v>506</v>
      </c>
      <c r="S106" s="1" t="s">
        <v>406</v>
      </c>
      <c r="T106" s="1" t="s">
        <v>406</v>
      </c>
      <c r="U106" s="1" t="s">
        <v>507</v>
      </c>
      <c r="V106" s="1" t="s">
        <v>508</v>
      </c>
    </row>
    <row r="107" spans="1:22" x14ac:dyDescent="0.2">
      <c r="A107">
        <v>134</v>
      </c>
      <c r="B107" t="s">
        <v>284</v>
      </c>
      <c r="C107" t="s">
        <v>282</v>
      </c>
      <c r="D107" t="s">
        <v>477</v>
      </c>
      <c r="E107" t="s">
        <v>502</v>
      </c>
      <c r="F107">
        <v>5120</v>
      </c>
      <c r="G107" t="s">
        <v>23</v>
      </c>
      <c r="H107" t="s">
        <v>423</v>
      </c>
      <c r="I107" t="s">
        <v>404</v>
      </c>
      <c r="J107" t="s">
        <v>424</v>
      </c>
      <c r="K107">
        <v>2</v>
      </c>
      <c r="L107" s="1" t="s">
        <v>503</v>
      </c>
      <c r="M107" t="s">
        <v>504</v>
      </c>
      <c r="N107" s="1" t="s">
        <v>505</v>
      </c>
      <c r="O107">
        <v>2</v>
      </c>
      <c r="P107" t="s">
        <v>423</v>
      </c>
      <c r="Q107">
        <v>1</v>
      </c>
      <c r="R107" s="1" t="s">
        <v>506</v>
      </c>
      <c r="S107" s="1" t="s">
        <v>406</v>
      </c>
      <c r="T107" s="1" t="s">
        <v>406</v>
      </c>
      <c r="U107" s="1" t="s">
        <v>507</v>
      </c>
      <c r="V107" s="1" t="s">
        <v>508</v>
      </c>
    </row>
    <row r="108" spans="1:22" x14ac:dyDescent="0.2">
      <c r="A108">
        <v>134</v>
      </c>
      <c r="B108" t="s">
        <v>284</v>
      </c>
      <c r="C108" t="s">
        <v>282</v>
      </c>
      <c r="D108" t="s">
        <v>477</v>
      </c>
      <c r="E108" t="s">
        <v>502</v>
      </c>
      <c r="F108">
        <v>5120</v>
      </c>
      <c r="G108" t="s">
        <v>24</v>
      </c>
      <c r="H108" t="s">
        <v>423</v>
      </c>
      <c r="I108" t="s">
        <v>404</v>
      </c>
      <c r="J108" t="s">
        <v>424</v>
      </c>
      <c r="K108">
        <v>38700</v>
      </c>
      <c r="L108" s="1" t="s">
        <v>503</v>
      </c>
      <c r="M108" t="s">
        <v>504</v>
      </c>
      <c r="N108" s="1" t="s">
        <v>505</v>
      </c>
      <c r="O108">
        <v>38700</v>
      </c>
      <c r="P108" t="s">
        <v>423</v>
      </c>
      <c r="Q108">
        <v>1</v>
      </c>
      <c r="R108" s="1" t="s">
        <v>506</v>
      </c>
      <c r="S108" s="1" t="s">
        <v>406</v>
      </c>
      <c r="T108" s="1" t="s">
        <v>406</v>
      </c>
      <c r="U108" s="1" t="s">
        <v>507</v>
      </c>
      <c r="V108" s="1" t="s">
        <v>508</v>
      </c>
    </row>
    <row r="109" spans="1:22" x14ac:dyDescent="0.2">
      <c r="A109">
        <v>134</v>
      </c>
      <c r="B109" t="s">
        <v>284</v>
      </c>
      <c r="C109" t="s">
        <v>282</v>
      </c>
      <c r="D109" t="s">
        <v>477</v>
      </c>
      <c r="E109" t="s">
        <v>502</v>
      </c>
      <c r="F109">
        <v>5120</v>
      </c>
      <c r="G109" t="s">
        <v>25</v>
      </c>
      <c r="H109" t="s">
        <v>423</v>
      </c>
      <c r="I109" t="s">
        <v>404</v>
      </c>
      <c r="J109" t="s">
        <v>424</v>
      </c>
      <c r="K109">
        <v>0</v>
      </c>
      <c r="L109" s="1" t="s">
        <v>503</v>
      </c>
      <c r="M109" t="s">
        <v>504</v>
      </c>
      <c r="N109" s="1" t="s">
        <v>505</v>
      </c>
      <c r="O109">
        <v>0</v>
      </c>
      <c r="P109" t="s">
        <v>423</v>
      </c>
      <c r="Q109">
        <v>1</v>
      </c>
      <c r="R109" s="1" t="s">
        <v>506</v>
      </c>
      <c r="S109" s="1" t="s">
        <v>406</v>
      </c>
      <c r="T109" s="1" t="s">
        <v>406</v>
      </c>
      <c r="U109" s="1" t="s">
        <v>507</v>
      </c>
      <c r="V109" s="1" t="s">
        <v>508</v>
      </c>
    </row>
    <row r="110" spans="1:22" x14ac:dyDescent="0.2">
      <c r="A110">
        <v>134</v>
      </c>
      <c r="B110" t="s">
        <v>284</v>
      </c>
      <c r="C110" t="s">
        <v>282</v>
      </c>
      <c r="D110" t="s">
        <v>477</v>
      </c>
      <c r="E110" t="s">
        <v>502</v>
      </c>
      <c r="F110">
        <v>5120</v>
      </c>
      <c r="G110" t="s">
        <v>26</v>
      </c>
      <c r="H110" t="s">
        <v>496</v>
      </c>
      <c r="I110" t="s">
        <v>404</v>
      </c>
      <c r="J110" t="s">
        <v>424</v>
      </c>
      <c r="K110">
        <v>100</v>
      </c>
      <c r="L110" s="1" t="s">
        <v>503</v>
      </c>
      <c r="M110" t="s">
        <v>504</v>
      </c>
      <c r="N110" s="1" t="s">
        <v>505</v>
      </c>
      <c r="O110">
        <v>100</v>
      </c>
      <c r="P110" t="s">
        <v>496</v>
      </c>
      <c r="Q110">
        <v>1</v>
      </c>
      <c r="R110" s="1" t="s">
        <v>506</v>
      </c>
      <c r="S110" s="1" t="s">
        <v>406</v>
      </c>
      <c r="T110" s="1" t="s">
        <v>406</v>
      </c>
      <c r="U110" s="1" t="s">
        <v>507</v>
      </c>
      <c r="V110" s="1" t="s">
        <v>508</v>
      </c>
    </row>
    <row r="111" spans="1:22" x14ac:dyDescent="0.2">
      <c r="A111" s="1">
        <v>135</v>
      </c>
      <c r="B111" s="1" t="s">
        <v>287</v>
      </c>
      <c r="C111" s="1" t="s">
        <v>282</v>
      </c>
      <c r="D111" s="1" t="s">
        <v>31</v>
      </c>
      <c r="E111" s="1" t="s">
        <v>509</v>
      </c>
      <c r="F111" s="1">
        <v>363</v>
      </c>
      <c r="G111" s="1" t="s">
        <v>13</v>
      </c>
      <c r="H111" s="1" t="s">
        <v>403</v>
      </c>
      <c r="I111" s="1" t="s">
        <v>404</v>
      </c>
      <c r="J111" s="1" t="s">
        <v>405</v>
      </c>
      <c r="K111" s="1">
        <v>0</v>
      </c>
      <c r="L111" s="1" t="s">
        <v>406</v>
      </c>
      <c r="M111" s="1" t="s">
        <v>407</v>
      </c>
      <c r="N111" s="1" t="s">
        <v>408</v>
      </c>
      <c r="O111" s="1" t="s">
        <v>409</v>
      </c>
      <c r="P111" s="1" t="s">
        <v>403</v>
      </c>
      <c r="Q111" s="1">
        <v>1</v>
      </c>
      <c r="R111" s="1" t="s">
        <v>410</v>
      </c>
      <c r="S111" s="1" t="s">
        <v>411</v>
      </c>
      <c r="T111" s="1" t="s">
        <v>412</v>
      </c>
      <c r="U111" s="1" t="s">
        <v>413</v>
      </c>
      <c r="V111" s="1" t="s">
        <v>414</v>
      </c>
    </row>
    <row r="112" spans="1:22" ht="16" customHeight="1" x14ac:dyDescent="0.2">
      <c r="A112">
        <v>135</v>
      </c>
      <c r="B112" t="s">
        <v>287</v>
      </c>
      <c r="C112" t="s">
        <v>282</v>
      </c>
      <c r="D112" t="s">
        <v>31</v>
      </c>
      <c r="E112" t="s">
        <v>509</v>
      </c>
      <c r="F112">
        <v>363</v>
      </c>
      <c r="G112" t="s">
        <v>9</v>
      </c>
      <c r="H112" t="s">
        <v>415</v>
      </c>
      <c r="I112" t="s">
        <v>404</v>
      </c>
      <c r="J112" t="s">
        <v>405</v>
      </c>
      <c r="K112">
        <v>0</v>
      </c>
      <c r="L112" s="11" t="s">
        <v>406</v>
      </c>
      <c r="M112" t="s">
        <v>416</v>
      </c>
      <c r="N112" s="11" t="s">
        <v>417</v>
      </c>
      <c r="O112" t="s">
        <v>418</v>
      </c>
      <c r="P112" t="s">
        <v>415</v>
      </c>
      <c r="Q112">
        <v>1</v>
      </c>
      <c r="R112" s="11" t="s">
        <v>406</v>
      </c>
      <c r="S112" s="11" t="s">
        <v>406</v>
      </c>
      <c r="T112" s="11" t="s">
        <v>406</v>
      </c>
      <c r="U112" s="11" t="s">
        <v>419</v>
      </c>
      <c r="V112" s="11" t="s">
        <v>420</v>
      </c>
    </row>
    <row r="113" spans="1:22" x14ac:dyDescent="0.2">
      <c r="A113" s="1">
        <v>136</v>
      </c>
      <c r="B113" s="1" t="s">
        <v>289</v>
      </c>
      <c r="C113" s="1" t="s">
        <v>282</v>
      </c>
      <c r="D113" s="1" t="s">
        <v>31</v>
      </c>
      <c r="E113" s="1" t="s">
        <v>510</v>
      </c>
      <c r="F113" s="1">
        <v>488</v>
      </c>
      <c r="G113" s="1" t="s">
        <v>13</v>
      </c>
      <c r="H113" s="1" t="s">
        <v>403</v>
      </c>
      <c r="I113" s="1" t="s">
        <v>404</v>
      </c>
      <c r="J113" s="1" t="s">
        <v>405</v>
      </c>
      <c r="K113" s="1">
        <v>0</v>
      </c>
      <c r="L113" s="1" t="s">
        <v>406</v>
      </c>
      <c r="M113" s="1" t="s">
        <v>407</v>
      </c>
      <c r="N113" s="1" t="s">
        <v>408</v>
      </c>
      <c r="O113" s="1" t="s">
        <v>409</v>
      </c>
      <c r="P113" s="1" t="s">
        <v>403</v>
      </c>
      <c r="Q113" s="1">
        <v>1</v>
      </c>
      <c r="R113" s="1" t="s">
        <v>410</v>
      </c>
      <c r="S113" s="1" t="s">
        <v>411</v>
      </c>
      <c r="T113" s="1" t="s">
        <v>412</v>
      </c>
      <c r="U113" s="1" t="s">
        <v>413</v>
      </c>
      <c r="V113" s="1" t="s">
        <v>414</v>
      </c>
    </row>
    <row r="114" spans="1:22" ht="16" customHeight="1" x14ac:dyDescent="0.2">
      <c r="A114">
        <v>136</v>
      </c>
      <c r="B114" t="s">
        <v>289</v>
      </c>
      <c r="C114" t="s">
        <v>282</v>
      </c>
      <c r="D114" t="s">
        <v>31</v>
      </c>
      <c r="E114" t="s">
        <v>510</v>
      </c>
      <c r="F114">
        <v>488</v>
      </c>
      <c r="G114" t="s">
        <v>9</v>
      </c>
      <c r="H114" t="s">
        <v>415</v>
      </c>
      <c r="I114" t="s">
        <v>404</v>
      </c>
      <c r="J114" t="s">
        <v>405</v>
      </c>
      <c r="K114">
        <v>0</v>
      </c>
      <c r="L114" s="11" t="s">
        <v>406</v>
      </c>
      <c r="M114" t="s">
        <v>416</v>
      </c>
      <c r="N114" s="11" t="s">
        <v>417</v>
      </c>
      <c r="O114" t="s">
        <v>418</v>
      </c>
      <c r="P114" t="s">
        <v>415</v>
      </c>
      <c r="Q114">
        <v>1</v>
      </c>
      <c r="R114" s="11" t="s">
        <v>406</v>
      </c>
      <c r="S114" s="11" t="s">
        <v>406</v>
      </c>
      <c r="T114" s="11" t="s">
        <v>406</v>
      </c>
      <c r="U114" s="11" t="s">
        <v>419</v>
      </c>
      <c r="V114" s="11" t="s">
        <v>420</v>
      </c>
    </row>
    <row r="115" spans="1:22" x14ac:dyDescent="0.2">
      <c r="A115" s="1">
        <v>137</v>
      </c>
      <c r="B115" s="1" t="s">
        <v>291</v>
      </c>
      <c r="C115" s="1" t="s">
        <v>282</v>
      </c>
      <c r="D115" s="1" t="s">
        <v>31</v>
      </c>
      <c r="E115" s="1" t="s">
        <v>511</v>
      </c>
      <c r="F115" s="1">
        <v>1772</v>
      </c>
      <c r="G115" s="1" t="s">
        <v>13</v>
      </c>
      <c r="H115" s="1" t="s">
        <v>403</v>
      </c>
      <c r="I115" s="1" t="s">
        <v>404</v>
      </c>
      <c r="J115" s="1" t="s">
        <v>405</v>
      </c>
      <c r="K115" s="1">
        <v>0</v>
      </c>
      <c r="L115" s="1" t="s">
        <v>406</v>
      </c>
      <c r="M115" s="1" t="s">
        <v>407</v>
      </c>
      <c r="N115" s="1" t="s">
        <v>408</v>
      </c>
      <c r="O115" s="1" t="s">
        <v>409</v>
      </c>
      <c r="P115" s="1" t="s">
        <v>403</v>
      </c>
      <c r="Q115" s="1">
        <v>1</v>
      </c>
      <c r="R115" s="1" t="s">
        <v>410</v>
      </c>
      <c r="S115" s="1" t="s">
        <v>411</v>
      </c>
      <c r="T115" s="1" t="s">
        <v>412</v>
      </c>
      <c r="U115" s="1" t="s">
        <v>413</v>
      </c>
      <c r="V115" s="1" t="s">
        <v>414</v>
      </c>
    </row>
    <row r="116" spans="1:22" x14ac:dyDescent="0.2">
      <c r="A116" s="1">
        <v>137</v>
      </c>
      <c r="B116" s="1" t="s">
        <v>291</v>
      </c>
      <c r="C116" s="1" t="s">
        <v>282</v>
      </c>
      <c r="D116" s="1" t="s">
        <v>31</v>
      </c>
      <c r="E116" s="1" t="s">
        <v>511</v>
      </c>
      <c r="F116" s="1">
        <v>1772</v>
      </c>
      <c r="G116" s="1" t="s">
        <v>18</v>
      </c>
      <c r="H116" s="1" t="s">
        <v>423</v>
      </c>
      <c r="I116" s="1" t="s">
        <v>404</v>
      </c>
      <c r="J116" s="1" t="s">
        <v>424</v>
      </c>
      <c r="K116" s="1">
        <v>0</v>
      </c>
      <c r="L116" s="1" t="s">
        <v>425</v>
      </c>
      <c r="M116" s="1" t="s">
        <v>512</v>
      </c>
      <c r="N116" s="1" t="s">
        <v>513</v>
      </c>
      <c r="O116" s="1">
        <v>0</v>
      </c>
      <c r="P116" s="1" t="s">
        <v>423</v>
      </c>
      <c r="Q116" s="1">
        <v>1</v>
      </c>
      <c r="R116" s="1" t="s">
        <v>514</v>
      </c>
      <c r="S116" s="1" t="s">
        <v>406</v>
      </c>
      <c r="T116" s="1" t="s">
        <v>406</v>
      </c>
      <c r="U116" s="1" t="s">
        <v>429</v>
      </c>
      <c r="V116" s="1" t="s">
        <v>515</v>
      </c>
    </row>
    <row r="117" spans="1:22" ht="16" customHeight="1" x14ac:dyDescent="0.2">
      <c r="A117">
        <v>137</v>
      </c>
      <c r="B117" t="s">
        <v>291</v>
      </c>
      <c r="C117" t="s">
        <v>282</v>
      </c>
      <c r="D117" t="s">
        <v>31</v>
      </c>
      <c r="E117" t="s">
        <v>511</v>
      </c>
      <c r="F117">
        <v>1772</v>
      </c>
      <c r="G117" t="s">
        <v>9</v>
      </c>
      <c r="H117" t="s">
        <v>415</v>
      </c>
      <c r="I117" t="s">
        <v>404</v>
      </c>
      <c r="J117" t="s">
        <v>405</v>
      </c>
      <c r="K117">
        <v>0</v>
      </c>
      <c r="L117" s="11" t="s">
        <v>406</v>
      </c>
      <c r="M117" t="s">
        <v>416</v>
      </c>
      <c r="N117" s="11" t="s">
        <v>417</v>
      </c>
      <c r="O117" t="s">
        <v>418</v>
      </c>
      <c r="P117" t="s">
        <v>415</v>
      </c>
      <c r="Q117">
        <v>1</v>
      </c>
      <c r="R117" s="11" t="s">
        <v>406</v>
      </c>
      <c r="S117" s="11" t="s">
        <v>406</v>
      </c>
      <c r="T117" s="11" t="s">
        <v>406</v>
      </c>
      <c r="U117" s="11" t="s">
        <v>419</v>
      </c>
      <c r="V117" s="11" t="s">
        <v>420</v>
      </c>
    </row>
    <row r="118" spans="1:22" x14ac:dyDescent="0.2">
      <c r="A118" s="1">
        <v>138</v>
      </c>
      <c r="B118" s="1" t="s">
        <v>293</v>
      </c>
      <c r="C118" s="1" t="s">
        <v>282</v>
      </c>
      <c r="D118" s="1" t="s">
        <v>31</v>
      </c>
      <c r="E118" s="1" t="s">
        <v>516</v>
      </c>
      <c r="F118" s="1">
        <v>365</v>
      </c>
      <c r="G118" s="1" t="s">
        <v>13</v>
      </c>
      <c r="H118" s="1" t="s">
        <v>403</v>
      </c>
      <c r="I118" s="1" t="s">
        <v>404</v>
      </c>
      <c r="J118" s="1" t="s">
        <v>405</v>
      </c>
      <c r="K118" s="1">
        <v>0</v>
      </c>
      <c r="L118" s="1" t="s">
        <v>406</v>
      </c>
      <c r="M118" s="1" t="s">
        <v>407</v>
      </c>
      <c r="N118" s="1" t="s">
        <v>408</v>
      </c>
      <c r="O118" s="1" t="s">
        <v>409</v>
      </c>
      <c r="P118" s="1" t="s">
        <v>403</v>
      </c>
      <c r="Q118" s="1">
        <v>1</v>
      </c>
      <c r="R118" s="1" t="s">
        <v>410</v>
      </c>
      <c r="S118" s="1" t="s">
        <v>411</v>
      </c>
      <c r="T118" s="1" t="s">
        <v>412</v>
      </c>
      <c r="U118" s="1" t="s">
        <v>413</v>
      </c>
      <c r="V118" s="1" t="s">
        <v>414</v>
      </c>
    </row>
    <row r="119" spans="1:22" ht="16" customHeight="1" x14ac:dyDescent="0.2">
      <c r="A119">
        <v>138</v>
      </c>
      <c r="B119" t="s">
        <v>293</v>
      </c>
      <c r="C119" t="s">
        <v>282</v>
      </c>
      <c r="D119" t="s">
        <v>31</v>
      </c>
      <c r="E119" t="s">
        <v>516</v>
      </c>
      <c r="F119">
        <v>365</v>
      </c>
      <c r="G119" t="s">
        <v>9</v>
      </c>
      <c r="H119" t="s">
        <v>415</v>
      </c>
      <c r="I119" t="s">
        <v>404</v>
      </c>
      <c r="J119" t="s">
        <v>405</v>
      </c>
      <c r="K119">
        <v>0</v>
      </c>
      <c r="L119" s="11" t="s">
        <v>406</v>
      </c>
      <c r="M119" t="s">
        <v>416</v>
      </c>
      <c r="N119" s="11" t="s">
        <v>417</v>
      </c>
      <c r="O119" t="s">
        <v>418</v>
      </c>
      <c r="P119" t="s">
        <v>415</v>
      </c>
      <c r="Q119">
        <v>1</v>
      </c>
      <c r="R119" s="11" t="s">
        <v>406</v>
      </c>
      <c r="S119" s="11" t="s">
        <v>406</v>
      </c>
      <c r="T119" s="11" t="s">
        <v>406</v>
      </c>
      <c r="U119" s="11" t="s">
        <v>419</v>
      </c>
      <c r="V119" s="11" t="s">
        <v>420</v>
      </c>
    </row>
    <row r="120" spans="1:22" x14ac:dyDescent="0.2">
      <c r="A120" s="1">
        <v>139</v>
      </c>
      <c r="B120" s="1" t="s">
        <v>295</v>
      </c>
      <c r="C120" s="1" t="s">
        <v>282</v>
      </c>
      <c r="D120" s="1" t="s">
        <v>31</v>
      </c>
      <c r="E120" s="1" t="s">
        <v>517</v>
      </c>
      <c r="F120" s="1">
        <v>802</v>
      </c>
      <c r="G120" s="1" t="s">
        <v>13</v>
      </c>
      <c r="H120" s="1" t="s">
        <v>403</v>
      </c>
      <c r="I120" s="1" t="s">
        <v>404</v>
      </c>
      <c r="J120" s="1" t="s">
        <v>424</v>
      </c>
      <c r="K120" s="1">
        <v>437</v>
      </c>
      <c r="L120" s="1" t="s">
        <v>444</v>
      </c>
      <c r="M120" s="1" t="s">
        <v>518</v>
      </c>
      <c r="N120" s="1" t="s">
        <v>519</v>
      </c>
      <c r="O120" s="1">
        <v>437</v>
      </c>
      <c r="P120" s="1" t="s">
        <v>403</v>
      </c>
      <c r="Q120" s="1">
        <v>1</v>
      </c>
      <c r="R120" s="1" t="s">
        <v>520</v>
      </c>
      <c r="S120" s="1" t="s">
        <v>406</v>
      </c>
      <c r="T120" s="1" t="s">
        <v>406</v>
      </c>
      <c r="U120" s="1" t="s">
        <v>429</v>
      </c>
      <c r="V120" s="1" t="s">
        <v>521</v>
      </c>
    </row>
    <row r="121" spans="1:22" ht="16" customHeight="1" x14ac:dyDescent="0.2">
      <c r="A121">
        <v>139</v>
      </c>
      <c r="B121" t="s">
        <v>295</v>
      </c>
      <c r="C121" t="s">
        <v>282</v>
      </c>
      <c r="D121" t="s">
        <v>31</v>
      </c>
      <c r="E121" t="s">
        <v>517</v>
      </c>
      <c r="F121">
        <v>802</v>
      </c>
      <c r="G121" t="s">
        <v>9</v>
      </c>
      <c r="H121" t="s">
        <v>415</v>
      </c>
      <c r="I121" t="s">
        <v>404</v>
      </c>
      <c r="J121" t="s">
        <v>522</v>
      </c>
      <c r="K121">
        <v>0</v>
      </c>
      <c r="L121" s="11" t="s">
        <v>406</v>
      </c>
      <c r="M121" t="s">
        <v>416</v>
      </c>
      <c r="N121" s="11" t="s">
        <v>523</v>
      </c>
      <c r="O121" t="s">
        <v>418</v>
      </c>
      <c r="P121" t="s">
        <v>415</v>
      </c>
      <c r="Q121">
        <v>1</v>
      </c>
      <c r="R121" s="11" t="s">
        <v>406</v>
      </c>
      <c r="S121" s="11" t="s">
        <v>406</v>
      </c>
      <c r="T121" s="11" t="s">
        <v>406</v>
      </c>
      <c r="U121" s="11" t="s">
        <v>419</v>
      </c>
      <c r="V121" s="11" t="s">
        <v>524</v>
      </c>
    </row>
    <row r="122" spans="1:22" x14ac:dyDescent="0.2">
      <c r="A122" s="1">
        <v>140</v>
      </c>
      <c r="B122" s="1" t="s">
        <v>297</v>
      </c>
      <c r="C122" s="1" t="s">
        <v>282</v>
      </c>
      <c r="D122" s="1" t="s">
        <v>31</v>
      </c>
      <c r="E122" s="1" t="s">
        <v>525</v>
      </c>
      <c r="F122" s="1">
        <v>2095</v>
      </c>
      <c r="G122" s="1" t="s">
        <v>14</v>
      </c>
      <c r="H122" s="1" t="s">
        <v>403</v>
      </c>
      <c r="I122" s="1" t="s">
        <v>404</v>
      </c>
      <c r="J122" s="1" t="s">
        <v>424</v>
      </c>
      <c r="K122" s="1">
        <v>0</v>
      </c>
      <c r="L122" s="1" t="s">
        <v>425</v>
      </c>
      <c r="M122" s="1" t="s">
        <v>526</v>
      </c>
      <c r="N122" s="1" t="s">
        <v>527</v>
      </c>
      <c r="O122" s="1">
        <v>0</v>
      </c>
      <c r="P122" s="1" t="s">
        <v>403</v>
      </c>
      <c r="Q122" s="1">
        <v>1</v>
      </c>
      <c r="R122" s="1" t="s">
        <v>528</v>
      </c>
      <c r="S122" s="1" t="s">
        <v>406</v>
      </c>
      <c r="T122" s="1" t="s">
        <v>406</v>
      </c>
      <c r="U122" s="1" t="s">
        <v>429</v>
      </c>
      <c r="V122" s="1" t="s">
        <v>529</v>
      </c>
    </row>
    <row r="123" spans="1:22" x14ac:dyDescent="0.2">
      <c r="A123" s="1">
        <v>140</v>
      </c>
      <c r="B123" s="1" t="s">
        <v>297</v>
      </c>
      <c r="C123" s="1" t="s">
        <v>282</v>
      </c>
      <c r="D123" s="1" t="s">
        <v>31</v>
      </c>
      <c r="E123" s="1" t="s">
        <v>525</v>
      </c>
      <c r="F123" s="1">
        <v>2095</v>
      </c>
      <c r="G123" s="1" t="s">
        <v>17</v>
      </c>
      <c r="H123" s="1" t="s">
        <v>423</v>
      </c>
      <c r="I123" s="1" t="s">
        <v>404</v>
      </c>
      <c r="J123" s="1" t="s">
        <v>424</v>
      </c>
      <c r="K123" s="1">
        <v>2.2000000000000002</v>
      </c>
      <c r="L123" s="1" t="s">
        <v>425</v>
      </c>
      <c r="M123" s="1" t="s">
        <v>526</v>
      </c>
      <c r="N123" s="1" t="s">
        <v>527</v>
      </c>
      <c r="O123" s="1">
        <v>2.2000000000000002</v>
      </c>
      <c r="P123" s="1" t="s">
        <v>423</v>
      </c>
      <c r="Q123" s="1">
        <v>1</v>
      </c>
      <c r="R123" s="1" t="s">
        <v>528</v>
      </c>
      <c r="S123" s="1" t="s">
        <v>406</v>
      </c>
      <c r="T123" s="1" t="s">
        <v>406</v>
      </c>
      <c r="U123" s="1" t="s">
        <v>429</v>
      </c>
      <c r="V123" s="1" t="s">
        <v>530</v>
      </c>
    </row>
    <row r="124" spans="1:22" x14ac:dyDescent="0.2">
      <c r="A124" s="1">
        <v>140</v>
      </c>
      <c r="B124" s="1" t="s">
        <v>297</v>
      </c>
      <c r="C124" s="1" t="s">
        <v>282</v>
      </c>
      <c r="D124" s="1" t="s">
        <v>31</v>
      </c>
      <c r="E124" s="1" t="s">
        <v>525</v>
      </c>
      <c r="F124" s="1">
        <v>2095</v>
      </c>
      <c r="G124" s="1" t="s">
        <v>23</v>
      </c>
      <c r="H124" s="1" t="s">
        <v>423</v>
      </c>
      <c r="I124" s="1" t="s">
        <v>404</v>
      </c>
      <c r="J124" s="1" t="s">
        <v>424</v>
      </c>
      <c r="K124" s="1">
        <v>435</v>
      </c>
      <c r="L124" s="1" t="s">
        <v>425</v>
      </c>
      <c r="M124" s="1" t="s">
        <v>526</v>
      </c>
      <c r="N124" s="1" t="s">
        <v>527</v>
      </c>
      <c r="O124" s="1">
        <v>435</v>
      </c>
      <c r="P124" s="1" t="s">
        <v>423</v>
      </c>
      <c r="Q124" s="1">
        <v>1</v>
      </c>
      <c r="R124" s="1" t="s">
        <v>528</v>
      </c>
      <c r="S124" s="1" t="s">
        <v>406</v>
      </c>
      <c r="T124" s="1" t="s">
        <v>406</v>
      </c>
      <c r="U124" s="1" t="s">
        <v>429</v>
      </c>
      <c r="V124" s="1" t="s">
        <v>530</v>
      </c>
    </row>
    <row r="125" spans="1:22" x14ac:dyDescent="0.2">
      <c r="A125" s="1">
        <v>140</v>
      </c>
      <c r="B125" s="1" t="s">
        <v>297</v>
      </c>
      <c r="C125" s="1" t="s">
        <v>282</v>
      </c>
      <c r="D125" s="1" t="s">
        <v>31</v>
      </c>
      <c r="E125" s="1" t="s">
        <v>525</v>
      </c>
      <c r="F125" s="1">
        <v>2095</v>
      </c>
      <c r="G125" s="1" t="s">
        <v>16</v>
      </c>
      <c r="H125" s="1" t="s">
        <v>423</v>
      </c>
      <c r="I125" s="1" t="s">
        <v>404</v>
      </c>
      <c r="J125" s="1" t="s">
        <v>424</v>
      </c>
      <c r="K125" s="1">
        <v>0.16500000000000001</v>
      </c>
      <c r="L125" s="1" t="s">
        <v>425</v>
      </c>
      <c r="M125" s="1" t="s">
        <v>526</v>
      </c>
      <c r="N125" s="1" t="s">
        <v>527</v>
      </c>
      <c r="O125" s="1">
        <v>0.16500000000000001</v>
      </c>
      <c r="P125" s="1" t="s">
        <v>423</v>
      </c>
      <c r="Q125" s="1">
        <v>1</v>
      </c>
      <c r="R125" s="1" t="s">
        <v>528</v>
      </c>
      <c r="S125" s="1" t="s">
        <v>406</v>
      </c>
      <c r="T125" s="1" t="s">
        <v>406</v>
      </c>
      <c r="U125" s="1" t="s">
        <v>429</v>
      </c>
      <c r="V125" s="1" t="s">
        <v>530</v>
      </c>
    </row>
    <row r="126" spans="1:22" x14ac:dyDescent="0.2">
      <c r="A126" s="1">
        <v>140</v>
      </c>
      <c r="B126" s="1" t="s">
        <v>297</v>
      </c>
      <c r="C126" s="1" t="s">
        <v>282</v>
      </c>
      <c r="D126" s="1" t="s">
        <v>31</v>
      </c>
      <c r="E126" s="1" t="s">
        <v>525</v>
      </c>
      <c r="F126" s="1">
        <v>2095</v>
      </c>
      <c r="G126" s="1" t="s">
        <v>25</v>
      </c>
      <c r="H126" s="1" t="s">
        <v>423</v>
      </c>
      <c r="I126" s="1" t="s">
        <v>404</v>
      </c>
      <c r="J126" s="1" t="s">
        <v>424</v>
      </c>
      <c r="K126" s="1">
        <v>0.87</v>
      </c>
      <c r="L126" s="1" t="s">
        <v>425</v>
      </c>
      <c r="M126" s="1" t="s">
        <v>526</v>
      </c>
      <c r="N126" s="1" t="s">
        <v>527</v>
      </c>
      <c r="O126" s="1">
        <v>0.87</v>
      </c>
      <c r="P126" s="1" t="s">
        <v>423</v>
      </c>
      <c r="Q126" s="1">
        <v>1</v>
      </c>
      <c r="R126" s="1" t="s">
        <v>528</v>
      </c>
      <c r="S126" s="1" t="s">
        <v>406</v>
      </c>
      <c r="T126" s="1" t="s">
        <v>406</v>
      </c>
      <c r="U126" s="1" t="s">
        <v>429</v>
      </c>
      <c r="V126" s="1" t="s">
        <v>530</v>
      </c>
    </row>
    <row r="127" spans="1:22" ht="16" customHeight="1" x14ac:dyDescent="0.2">
      <c r="A127">
        <v>140</v>
      </c>
      <c r="B127" t="s">
        <v>297</v>
      </c>
      <c r="C127" t="s">
        <v>282</v>
      </c>
      <c r="D127" t="s">
        <v>31</v>
      </c>
      <c r="E127" t="s">
        <v>525</v>
      </c>
      <c r="F127">
        <v>2095</v>
      </c>
      <c r="G127" t="s">
        <v>9</v>
      </c>
      <c r="H127" t="s">
        <v>415</v>
      </c>
      <c r="I127" t="s">
        <v>404</v>
      </c>
      <c r="J127" t="s">
        <v>405</v>
      </c>
      <c r="K127">
        <v>0</v>
      </c>
      <c r="L127" s="11" t="s">
        <v>406</v>
      </c>
      <c r="M127" t="s">
        <v>416</v>
      </c>
      <c r="N127" s="11" t="s">
        <v>417</v>
      </c>
      <c r="O127" t="s">
        <v>418</v>
      </c>
      <c r="P127" t="s">
        <v>415</v>
      </c>
      <c r="Q127">
        <v>1</v>
      </c>
      <c r="R127" s="11" t="s">
        <v>406</v>
      </c>
      <c r="S127" s="11" t="s">
        <v>406</v>
      </c>
      <c r="T127" s="11" t="s">
        <v>406</v>
      </c>
      <c r="U127" s="11" t="s">
        <v>419</v>
      </c>
      <c r="V127" s="11" t="s">
        <v>420</v>
      </c>
    </row>
    <row r="128" spans="1:22" x14ac:dyDescent="0.2">
      <c r="A128" s="1">
        <v>141</v>
      </c>
      <c r="B128" s="1" t="s">
        <v>299</v>
      </c>
      <c r="C128" s="1" t="s">
        <v>282</v>
      </c>
      <c r="D128" s="1" t="s">
        <v>477</v>
      </c>
      <c r="E128" s="1" t="s">
        <v>531</v>
      </c>
      <c r="F128" s="1">
        <v>4076</v>
      </c>
      <c r="G128" s="1" t="s">
        <v>12</v>
      </c>
      <c r="H128" s="1" t="s">
        <v>415</v>
      </c>
      <c r="I128" s="1" t="s">
        <v>404</v>
      </c>
      <c r="J128" s="1" t="s">
        <v>424</v>
      </c>
      <c r="K128" s="1">
        <v>27.8</v>
      </c>
      <c r="L128" s="1" t="s">
        <v>532</v>
      </c>
      <c r="M128" s="1" t="s">
        <v>533</v>
      </c>
      <c r="N128" s="1" t="s">
        <v>534</v>
      </c>
      <c r="O128" s="1">
        <v>27.8</v>
      </c>
      <c r="P128" s="1" t="s">
        <v>535</v>
      </c>
      <c r="Q128" s="1">
        <v>1</v>
      </c>
      <c r="R128" s="1" t="s">
        <v>536</v>
      </c>
      <c r="S128" s="1" t="s">
        <v>406</v>
      </c>
      <c r="T128" s="1" t="s">
        <v>406</v>
      </c>
      <c r="U128" s="1" t="s">
        <v>483</v>
      </c>
      <c r="V128" s="1" t="s">
        <v>537</v>
      </c>
    </row>
    <row r="129" spans="1:22" x14ac:dyDescent="0.2">
      <c r="A129" s="1">
        <v>141</v>
      </c>
      <c r="B129" s="1" t="s">
        <v>299</v>
      </c>
      <c r="C129" s="1" t="s">
        <v>282</v>
      </c>
      <c r="D129" s="1" t="s">
        <v>477</v>
      </c>
      <c r="E129" s="1" t="s">
        <v>531</v>
      </c>
      <c r="F129" s="1">
        <v>4076</v>
      </c>
      <c r="G129" s="1" t="s">
        <v>14</v>
      </c>
      <c r="H129" s="1" t="s">
        <v>403</v>
      </c>
      <c r="I129" s="1" t="s">
        <v>404</v>
      </c>
      <c r="J129" s="1" t="s">
        <v>424</v>
      </c>
      <c r="K129" s="1">
        <v>0</v>
      </c>
      <c r="L129" s="1" t="s">
        <v>532</v>
      </c>
      <c r="M129" s="1" t="s">
        <v>533</v>
      </c>
      <c r="N129" s="1" t="s">
        <v>534</v>
      </c>
      <c r="O129" s="1" t="s">
        <v>538</v>
      </c>
      <c r="P129" s="1" t="s">
        <v>403</v>
      </c>
      <c r="Q129" s="1" t="s">
        <v>539</v>
      </c>
      <c r="R129" s="1" t="s">
        <v>536</v>
      </c>
      <c r="S129" s="1" t="s">
        <v>406</v>
      </c>
      <c r="T129" s="1" t="s">
        <v>406</v>
      </c>
      <c r="U129" s="1" t="s">
        <v>483</v>
      </c>
      <c r="V129" s="1" t="s">
        <v>540</v>
      </c>
    </row>
    <row r="130" spans="1:22" x14ac:dyDescent="0.2">
      <c r="A130" s="1">
        <v>141</v>
      </c>
      <c r="B130" s="1" t="s">
        <v>299</v>
      </c>
      <c r="C130" s="1" t="s">
        <v>282</v>
      </c>
      <c r="D130" s="1" t="s">
        <v>477</v>
      </c>
      <c r="E130" s="1" t="s">
        <v>531</v>
      </c>
      <c r="F130" s="1">
        <v>4076</v>
      </c>
      <c r="G130" s="1" t="s">
        <v>19</v>
      </c>
      <c r="H130" s="1" t="s">
        <v>423</v>
      </c>
      <c r="I130" s="1" t="s">
        <v>404</v>
      </c>
      <c r="J130" s="1" t="s">
        <v>424</v>
      </c>
      <c r="K130" s="1">
        <v>21.2</v>
      </c>
      <c r="L130" s="1" t="s">
        <v>532</v>
      </c>
      <c r="M130" s="1" t="s">
        <v>533</v>
      </c>
      <c r="N130" s="1" t="s">
        <v>534</v>
      </c>
      <c r="O130" s="1">
        <v>21.2</v>
      </c>
      <c r="P130" s="1" t="s">
        <v>423</v>
      </c>
      <c r="Q130" s="1">
        <v>1</v>
      </c>
      <c r="R130" s="1" t="s">
        <v>536</v>
      </c>
      <c r="S130" s="1" t="s">
        <v>406</v>
      </c>
      <c r="T130" s="1" t="s">
        <v>406</v>
      </c>
      <c r="U130" s="1" t="s">
        <v>483</v>
      </c>
      <c r="V130" s="1" t="s">
        <v>541</v>
      </c>
    </row>
    <row r="131" spans="1:22" x14ac:dyDescent="0.2">
      <c r="A131" s="1">
        <v>141</v>
      </c>
      <c r="B131" s="1" t="s">
        <v>299</v>
      </c>
      <c r="C131" s="1" t="s">
        <v>282</v>
      </c>
      <c r="D131" s="1" t="s">
        <v>477</v>
      </c>
      <c r="E131" s="1" t="s">
        <v>531</v>
      </c>
      <c r="F131" s="1">
        <v>4076</v>
      </c>
      <c r="G131" s="1" t="s">
        <v>20</v>
      </c>
      <c r="H131" s="1" t="s">
        <v>423</v>
      </c>
      <c r="I131" s="1" t="s">
        <v>404</v>
      </c>
      <c r="J131" s="1" t="s">
        <v>522</v>
      </c>
      <c r="K131" s="1">
        <v>0</v>
      </c>
      <c r="L131" s="1" t="s">
        <v>542</v>
      </c>
      <c r="M131" s="1" t="s">
        <v>543</v>
      </c>
      <c r="N131" s="1" t="s">
        <v>544</v>
      </c>
      <c r="O131" s="1" t="s">
        <v>545</v>
      </c>
      <c r="P131" s="1" t="s">
        <v>423</v>
      </c>
      <c r="Q131" s="1">
        <v>1</v>
      </c>
      <c r="R131" s="1" t="s">
        <v>546</v>
      </c>
      <c r="S131" s="1" t="s">
        <v>547</v>
      </c>
      <c r="T131" s="1" t="s">
        <v>548</v>
      </c>
      <c r="U131" s="1" t="s">
        <v>483</v>
      </c>
      <c r="V131" s="1" t="s">
        <v>549</v>
      </c>
    </row>
    <row r="132" spans="1:22" x14ac:dyDescent="0.2">
      <c r="A132" s="1">
        <v>141</v>
      </c>
      <c r="B132" s="1" t="s">
        <v>299</v>
      </c>
      <c r="C132" s="1" t="s">
        <v>282</v>
      </c>
      <c r="D132" s="1" t="s">
        <v>477</v>
      </c>
      <c r="E132" s="1" t="s">
        <v>531</v>
      </c>
      <c r="F132" s="1">
        <v>4076</v>
      </c>
      <c r="G132" s="1" t="s">
        <v>21</v>
      </c>
      <c r="H132" s="1" t="s">
        <v>423</v>
      </c>
      <c r="I132" s="1" t="s">
        <v>404</v>
      </c>
      <c r="J132" s="1" t="s">
        <v>424</v>
      </c>
      <c r="K132" s="1">
        <v>0.4</v>
      </c>
      <c r="L132" s="1" t="s">
        <v>532</v>
      </c>
      <c r="M132" s="1" t="s">
        <v>533</v>
      </c>
      <c r="N132" s="1" t="s">
        <v>534</v>
      </c>
      <c r="O132" s="1">
        <v>0.4</v>
      </c>
      <c r="P132" s="1" t="s">
        <v>423</v>
      </c>
      <c r="Q132" s="1">
        <v>1</v>
      </c>
      <c r="R132" s="1" t="s">
        <v>536</v>
      </c>
      <c r="S132" s="1" t="s">
        <v>406</v>
      </c>
      <c r="T132" s="1" t="s">
        <v>406</v>
      </c>
      <c r="U132" s="1" t="s">
        <v>483</v>
      </c>
      <c r="V132" s="1" t="s">
        <v>550</v>
      </c>
    </row>
    <row r="133" spans="1:22" x14ac:dyDescent="0.2">
      <c r="A133" s="1">
        <v>141</v>
      </c>
      <c r="B133" s="1" t="s">
        <v>299</v>
      </c>
      <c r="C133" s="1" t="s">
        <v>282</v>
      </c>
      <c r="D133" s="1" t="s">
        <v>477</v>
      </c>
      <c r="E133" s="1" t="s">
        <v>531</v>
      </c>
      <c r="F133" s="1">
        <v>4076</v>
      </c>
      <c r="G133" s="1" t="s">
        <v>17</v>
      </c>
      <c r="H133" s="1" t="s">
        <v>423</v>
      </c>
      <c r="I133" s="1" t="s">
        <v>404</v>
      </c>
      <c r="J133" s="1" t="s">
        <v>522</v>
      </c>
      <c r="K133" s="1">
        <v>0</v>
      </c>
      <c r="L133" s="1" t="s">
        <v>542</v>
      </c>
      <c r="M133" s="1" t="s">
        <v>543</v>
      </c>
      <c r="N133" s="1" t="s">
        <v>544</v>
      </c>
      <c r="O133" s="1" t="s">
        <v>545</v>
      </c>
      <c r="P133" s="1" t="s">
        <v>423</v>
      </c>
      <c r="Q133" s="1">
        <v>1</v>
      </c>
      <c r="R133" s="1" t="s">
        <v>546</v>
      </c>
      <c r="S133" s="1" t="s">
        <v>547</v>
      </c>
      <c r="T133" s="1" t="s">
        <v>548</v>
      </c>
      <c r="U133" s="1" t="s">
        <v>483</v>
      </c>
      <c r="V133" s="1" t="s">
        <v>551</v>
      </c>
    </row>
    <row r="134" spans="1:22" x14ac:dyDescent="0.2">
      <c r="A134" s="1">
        <v>141</v>
      </c>
      <c r="B134" s="1" t="s">
        <v>299</v>
      </c>
      <c r="C134" s="1" t="s">
        <v>282</v>
      </c>
      <c r="D134" s="1" t="s">
        <v>477</v>
      </c>
      <c r="E134" s="1" t="s">
        <v>531</v>
      </c>
      <c r="F134" s="1">
        <v>4076</v>
      </c>
      <c r="G134" s="1" t="s">
        <v>22</v>
      </c>
      <c r="H134" s="1" t="s">
        <v>423</v>
      </c>
      <c r="I134" s="1" t="s">
        <v>404</v>
      </c>
      <c r="J134" s="1" t="s">
        <v>424</v>
      </c>
      <c r="K134" s="1">
        <v>1.3</v>
      </c>
      <c r="L134" s="1" t="s">
        <v>532</v>
      </c>
      <c r="M134" s="1" t="s">
        <v>533</v>
      </c>
      <c r="N134" s="1" t="s">
        <v>534</v>
      </c>
      <c r="O134" s="1">
        <v>1.3</v>
      </c>
      <c r="P134" s="1" t="s">
        <v>423</v>
      </c>
      <c r="Q134" s="1">
        <v>1</v>
      </c>
      <c r="R134" s="1" t="s">
        <v>536</v>
      </c>
      <c r="S134" s="1" t="s">
        <v>406</v>
      </c>
      <c r="T134" s="1" t="s">
        <v>406</v>
      </c>
      <c r="U134" s="1" t="s">
        <v>483</v>
      </c>
      <c r="V134" s="1" t="s">
        <v>552</v>
      </c>
    </row>
    <row r="135" spans="1:22" x14ac:dyDescent="0.2">
      <c r="A135" s="1">
        <v>141</v>
      </c>
      <c r="B135" s="1" t="s">
        <v>299</v>
      </c>
      <c r="C135" s="1" t="s">
        <v>282</v>
      </c>
      <c r="D135" s="1" t="s">
        <v>477</v>
      </c>
      <c r="E135" s="1" t="s">
        <v>531</v>
      </c>
      <c r="F135" s="1">
        <v>4076</v>
      </c>
      <c r="G135" s="1" t="s">
        <v>23</v>
      </c>
      <c r="H135" s="1" t="s">
        <v>423</v>
      </c>
      <c r="I135" s="1" t="s">
        <v>404</v>
      </c>
      <c r="J135" s="1" t="s">
        <v>424</v>
      </c>
      <c r="K135" s="1">
        <v>0.8</v>
      </c>
      <c r="L135" s="1" t="s">
        <v>532</v>
      </c>
      <c r="M135" s="1" t="s">
        <v>533</v>
      </c>
      <c r="N135" s="1" t="s">
        <v>534</v>
      </c>
      <c r="O135" s="1">
        <v>0.8</v>
      </c>
      <c r="P135" s="1" t="s">
        <v>423</v>
      </c>
      <c r="Q135" s="1">
        <v>1</v>
      </c>
      <c r="R135" s="1" t="s">
        <v>536</v>
      </c>
      <c r="S135" s="1" t="s">
        <v>406</v>
      </c>
      <c r="T135" s="1" t="s">
        <v>406</v>
      </c>
      <c r="U135" s="1" t="s">
        <v>483</v>
      </c>
      <c r="V135" s="1" t="s">
        <v>553</v>
      </c>
    </row>
    <row r="136" spans="1:22" x14ac:dyDescent="0.2">
      <c r="A136" s="1">
        <v>141</v>
      </c>
      <c r="B136" s="1" t="s">
        <v>299</v>
      </c>
      <c r="C136" s="1" t="s">
        <v>282</v>
      </c>
      <c r="D136" s="1" t="s">
        <v>477</v>
      </c>
      <c r="E136" s="1" t="s">
        <v>531</v>
      </c>
      <c r="F136" s="1">
        <v>4076</v>
      </c>
      <c r="G136" s="1" t="s">
        <v>13</v>
      </c>
      <c r="H136" s="1" t="s">
        <v>403</v>
      </c>
      <c r="I136" s="1" t="s">
        <v>404</v>
      </c>
      <c r="J136" s="1" t="s">
        <v>424</v>
      </c>
      <c r="K136" s="1">
        <v>0</v>
      </c>
      <c r="L136" s="1" t="s">
        <v>532</v>
      </c>
      <c r="M136" s="1" t="s">
        <v>533</v>
      </c>
      <c r="N136" s="1" t="s">
        <v>534</v>
      </c>
      <c r="O136" s="1" t="s">
        <v>538</v>
      </c>
      <c r="P136" s="1" t="s">
        <v>403</v>
      </c>
      <c r="Q136" s="1" t="s">
        <v>539</v>
      </c>
      <c r="R136" s="1" t="s">
        <v>536</v>
      </c>
      <c r="S136" s="1" t="s">
        <v>406</v>
      </c>
      <c r="T136" s="1" t="s">
        <v>406</v>
      </c>
      <c r="U136" s="1" t="s">
        <v>483</v>
      </c>
      <c r="V136" s="1" t="s">
        <v>554</v>
      </c>
    </row>
    <row r="137" spans="1:22" x14ac:dyDescent="0.2">
      <c r="A137" s="1">
        <v>141</v>
      </c>
      <c r="B137" s="1" t="s">
        <v>299</v>
      </c>
      <c r="C137" s="1" t="s">
        <v>282</v>
      </c>
      <c r="D137" s="1" t="s">
        <v>477</v>
      </c>
      <c r="E137" s="1" t="s">
        <v>531</v>
      </c>
      <c r="F137" s="1">
        <v>4076</v>
      </c>
      <c r="G137" s="1" t="s">
        <v>16</v>
      </c>
      <c r="H137" s="1" t="s">
        <v>423</v>
      </c>
      <c r="I137" s="1" t="s">
        <v>404</v>
      </c>
      <c r="J137" s="1" t="s">
        <v>522</v>
      </c>
      <c r="K137" s="1">
        <v>0</v>
      </c>
      <c r="L137" s="1" t="s">
        <v>542</v>
      </c>
      <c r="M137" s="1" t="s">
        <v>543</v>
      </c>
      <c r="N137" s="1" t="s">
        <v>544</v>
      </c>
      <c r="O137" s="1" t="s">
        <v>545</v>
      </c>
      <c r="P137" s="1" t="s">
        <v>423</v>
      </c>
      <c r="Q137" s="1">
        <v>1</v>
      </c>
      <c r="R137" s="1" t="s">
        <v>546</v>
      </c>
      <c r="S137" s="1" t="s">
        <v>547</v>
      </c>
      <c r="T137" s="1" t="s">
        <v>548</v>
      </c>
      <c r="U137" s="1" t="s">
        <v>483</v>
      </c>
      <c r="V137" s="1" t="s">
        <v>555</v>
      </c>
    </row>
    <row r="138" spans="1:22" x14ac:dyDescent="0.2">
      <c r="A138" s="1">
        <v>141</v>
      </c>
      <c r="B138" s="1" t="s">
        <v>299</v>
      </c>
      <c r="C138" s="1" t="s">
        <v>282</v>
      </c>
      <c r="D138" s="1" t="s">
        <v>477</v>
      </c>
      <c r="E138" s="1" t="s">
        <v>531</v>
      </c>
      <c r="F138" s="1">
        <v>4076</v>
      </c>
      <c r="G138" s="1" t="s">
        <v>15</v>
      </c>
      <c r="H138" s="1" t="s">
        <v>423</v>
      </c>
      <c r="I138" s="1" t="s">
        <v>404</v>
      </c>
      <c r="J138" s="1" t="s">
        <v>522</v>
      </c>
      <c r="K138" s="1">
        <v>0</v>
      </c>
      <c r="L138" s="1" t="s">
        <v>542</v>
      </c>
      <c r="M138" s="1" t="s">
        <v>543</v>
      </c>
      <c r="N138" s="1" t="s">
        <v>544</v>
      </c>
      <c r="O138" s="1" t="s">
        <v>545</v>
      </c>
      <c r="P138" s="1" t="s">
        <v>423</v>
      </c>
      <c r="Q138" s="1">
        <v>1</v>
      </c>
      <c r="R138" s="1" t="s">
        <v>546</v>
      </c>
      <c r="S138" s="1" t="s">
        <v>547</v>
      </c>
      <c r="T138" s="1" t="s">
        <v>548</v>
      </c>
      <c r="U138" s="1" t="s">
        <v>483</v>
      </c>
      <c r="V138" s="1" t="s">
        <v>551</v>
      </c>
    </row>
    <row r="139" spans="1:22" x14ac:dyDescent="0.2">
      <c r="A139" s="1">
        <v>141</v>
      </c>
      <c r="B139" s="1" t="s">
        <v>299</v>
      </c>
      <c r="C139" s="1" t="s">
        <v>282</v>
      </c>
      <c r="D139" s="1" t="s">
        <v>477</v>
      </c>
      <c r="E139" s="1" t="s">
        <v>531</v>
      </c>
      <c r="F139" s="1">
        <v>4076</v>
      </c>
      <c r="G139" s="1" t="s">
        <v>18</v>
      </c>
      <c r="H139" s="1" t="s">
        <v>423</v>
      </c>
      <c r="I139" s="1" t="s">
        <v>404</v>
      </c>
      <c r="J139" s="1" t="s">
        <v>424</v>
      </c>
      <c r="K139" s="1">
        <v>0</v>
      </c>
      <c r="L139" s="1" t="s">
        <v>532</v>
      </c>
      <c r="M139" s="1" t="s">
        <v>533</v>
      </c>
      <c r="N139" s="1" t="s">
        <v>534</v>
      </c>
      <c r="O139" s="1" t="s">
        <v>556</v>
      </c>
      <c r="P139" s="1" t="s">
        <v>423</v>
      </c>
      <c r="Q139" s="1" t="s">
        <v>539</v>
      </c>
      <c r="R139" s="1" t="s">
        <v>536</v>
      </c>
      <c r="S139" s="1" t="s">
        <v>406</v>
      </c>
      <c r="T139" s="1" t="s">
        <v>406</v>
      </c>
      <c r="U139" s="1" t="s">
        <v>483</v>
      </c>
      <c r="V139" s="1" t="s">
        <v>557</v>
      </c>
    </row>
    <row r="140" spans="1:22" x14ac:dyDescent="0.2">
      <c r="A140" s="1">
        <v>141</v>
      </c>
      <c r="B140" s="1" t="s">
        <v>299</v>
      </c>
      <c r="C140" s="1" t="s">
        <v>282</v>
      </c>
      <c r="D140" s="1" t="s">
        <v>477</v>
      </c>
      <c r="E140" s="1" t="s">
        <v>531</v>
      </c>
      <c r="F140" s="1">
        <v>4076</v>
      </c>
      <c r="G140" s="1" t="s">
        <v>25</v>
      </c>
      <c r="H140" s="1" t="s">
        <v>423</v>
      </c>
      <c r="I140" s="1" t="s">
        <v>404</v>
      </c>
      <c r="J140" s="1" t="s">
        <v>522</v>
      </c>
      <c r="K140" s="1">
        <v>0</v>
      </c>
      <c r="L140" s="1" t="s">
        <v>542</v>
      </c>
      <c r="M140" s="1" t="s">
        <v>543</v>
      </c>
      <c r="N140" s="1" t="s">
        <v>544</v>
      </c>
      <c r="O140" s="1" t="s">
        <v>545</v>
      </c>
      <c r="P140" s="1" t="s">
        <v>423</v>
      </c>
      <c r="Q140" s="1">
        <v>1</v>
      </c>
      <c r="R140" s="1" t="s">
        <v>546</v>
      </c>
      <c r="S140" s="1" t="s">
        <v>547</v>
      </c>
      <c r="T140" s="1" t="s">
        <v>548</v>
      </c>
      <c r="U140" s="1" t="s">
        <v>483</v>
      </c>
      <c r="V140" s="1" t="s">
        <v>558</v>
      </c>
    </row>
    <row r="141" spans="1:22" x14ac:dyDescent="0.2">
      <c r="A141">
        <v>141</v>
      </c>
      <c r="B141" t="s">
        <v>299</v>
      </c>
      <c r="C141" t="s">
        <v>282</v>
      </c>
      <c r="D141" t="s">
        <v>477</v>
      </c>
      <c r="E141" t="s">
        <v>531</v>
      </c>
      <c r="F141">
        <v>4076</v>
      </c>
      <c r="G141" t="s">
        <v>6</v>
      </c>
      <c r="H141" t="s">
        <v>493</v>
      </c>
      <c r="I141" t="s">
        <v>404</v>
      </c>
      <c r="J141" t="s">
        <v>424</v>
      </c>
      <c r="K141">
        <v>282</v>
      </c>
      <c r="L141" s="1" t="s">
        <v>532</v>
      </c>
      <c r="M141" t="s">
        <v>533</v>
      </c>
      <c r="N141" s="1" t="s">
        <v>534</v>
      </c>
      <c r="O141">
        <v>282</v>
      </c>
      <c r="P141" t="s">
        <v>493</v>
      </c>
      <c r="Q141">
        <v>1</v>
      </c>
      <c r="R141" s="1" t="s">
        <v>536</v>
      </c>
      <c r="S141" s="1" t="s">
        <v>406</v>
      </c>
      <c r="T141" s="1" t="s">
        <v>406</v>
      </c>
      <c r="U141" s="1" t="s">
        <v>559</v>
      </c>
      <c r="V141" s="1" t="s">
        <v>560</v>
      </c>
    </row>
    <row r="142" spans="1:22" x14ac:dyDescent="0.2">
      <c r="A142">
        <v>141</v>
      </c>
      <c r="B142" t="s">
        <v>299</v>
      </c>
      <c r="C142" t="s">
        <v>282</v>
      </c>
      <c r="D142" t="s">
        <v>477</v>
      </c>
      <c r="E142" t="s">
        <v>531</v>
      </c>
      <c r="F142">
        <v>4076</v>
      </c>
      <c r="G142" t="s">
        <v>7</v>
      </c>
      <c r="H142" t="s">
        <v>415</v>
      </c>
      <c r="I142" t="s">
        <v>404</v>
      </c>
      <c r="J142" t="s">
        <v>424</v>
      </c>
      <c r="K142">
        <v>0</v>
      </c>
      <c r="L142" s="1" t="s">
        <v>532</v>
      </c>
      <c r="M142" t="s">
        <v>533</v>
      </c>
      <c r="N142" s="1" t="s">
        <v>534</v>
      </c>
      <c r="O142">
        <v>0</v>
      </c>
      <c r="P142" t="s">
        <v>415</v>
      </c>
      <c r="Q142">
        <v>1</v>
      </c>
      <c r="R142" s="1" t="s">
        <v>536</v>
      </c>
      <c r="S142" s="1" t="s">
        <v>406</v>
      </c>
      <c r="T142" s="1" t="s">
        <v>406</v>
      </c>
      <c r="U142" s="1" t="s">
        <v>559</v>
      </c>
      <c r="V142" s="1" t="s">
        <v>560</v>
      </c>
    </row>
    <row r="143" spans="1:22" x14ac:dyDescent="0.2">
      <c r="A143">
        <v>141</v>
      </c>
      <c r="B143" t="s">
        <v>299</v>
      </c>
      <c r="C143" t="s">
        <v>282</v>
      </c>
      <c r="D143" t="s">
        <v>477</v>
      </c>
      <c r="E143" t="s">
        <v>531</v>
      </c>
      <c r="F143">
        <v>4076</v>
      </c>
      <c r="G143" t="s">
        <v>8</v>
      </c>
      <c r="H143" t="s">
        <v>415</v>
      </c>
      <c r="I143" t="s">
        <v>404</v>
      </c>
      <c r="J143" t="s">
        <v>424</v>
      </c>
      <c r="K143">
        <v>0</v>
      </c>
      <c r="L143" s="1" t="s">
        <v>532</v>
      </c>
      <c r="M143" t="s">
        <v>533</v>
      </c>
      <c r="N143" s="1" t="s">
        <v>534</v>
      </c>
      <c r="O143">
        <v>0</v>
      </c>
      <c r="P143" t="s">
        <v>415</v>
      </c>
      <c r="Q143">
        <v>1</v>
      </c>
      <c r="R143" s="1" t="s">
        <v>536</v>
      </c>
      <c r="S143" s="1" t="s">
        <v>406</v>
      </c>
      <c r="T143" s="1" t="s">
        <v>406</v>
      </c>
      <c r="U143" s="1" t="s">
        <v>559</v>
      </c>
      <c r="V143" s="1" t="s">
        <v>560</v>
      </c>
    </row>
    <row r="144" spans="1:22" ht="16" customHeight="1" x14ac:dyDescent="0.2">
      <c r="A144">
        <v>141</v>
      </c>
      <c r="B144" t="s">
        <v>299</v>
      </c>
      <c r="C144" t="s">
        <v>282</v>
      </c>
      <c r="D144" t="s">
        <v>477</v>
      </c>
      <c r="E144" t="s">
        <v>531</v>
      </c>
      <c r="F144">
        <v>4076</v>
      </c>
      <c r="G144" t="s">
        <v>9</v>
      </c>
      <c r="H144" t="s">
        <v>415</v>
      </c>
      <c r="I144" t="s">
        <v>404</v>
      </c>
      <c r="J144" t="s">
        <v>405</v>
      </c>
      <c r="K144">
        <v>0</v>
      </c>
      <c r="L144" s="11" t="s">
        <v>406</v>
      </c>
      <c r="M144" t="s">
        <v>416</v>
      </c>
      <c r="N144" s="11" t="s">
        <v>417</v>
      </c>
      <c r="O144" t="s">
        <v>418</v>
      </c>
      <c r="P144" t="s">
        <v>415</v>
      </c>
      <c r="Q144">
        <v>1</v>
      </c>
      <c r="R144" s="11" t="s">
        <v>406</v>
      </c>
      <c r="S144" s="11" t="s">
        <v>406</v>
      </c>
      <c r="T144" s="11" t="s">
        <v>406</v>
      </c>
      <c r="U144" s="11" t="s">
        <v>419</v>
      </c>
      <c r="V144" s="11" t="s">
        <v>420</v>
      </c>
    </row>
    <row r="145" spans="1:22" x14ac:dyDescent="0.2">
      <c r="A145">
        <v>141</v>
      </c>
      <c r="B145" t="s">
        <v>299</v>
      </c>
      <c r="C145" t="s">
        <v>282</v>
      </c>
      <c r="D145" t="s">
        <v>477</v>
      </c>
      <c r="E145" t="s">
        <v>531</v>
      </c>
      <c r="F145">
        <v>4076</v>
      </c>
      <c r="G145" t="s">
        <v>10</v>
      </c>
      <c r="H145" t="s">
        <v>415</v>
      </c>
      <c r="I145" t="s">
        <v>404</v>
      </c>
      <c r="J145" t="s">
        <v>424</v>
      </c>
      <c r="K145">
        <v>0</v>
      </c>
      <c r="L145" s="1" t="s">
        <v>532</v>
      </c>
      <c r="M145" t="s">
        <v>533</v>
      </c>
      <c r="N145" s="1" t="s">
        <v>534</v>
      </c>
      <c r="O145" t="s">
        <v>556</v>
      </c>
      <c r="P145" t="s">
        <v>415</v>
      </c>
      <c r="Q145" t="s">
        <v>539</v>
      </c>
      <c r="R145" s="1" t="s">
        <v>536</v>
      </c>
      <c r="S145" s="1" t="s">
        <v>406</v>
      </c>
      <c r="T145" s="1" t="s">
        <v>406</v>
      </c>
      <c r="U145" s="1" t="s">
        <v>559</v>
      </c>
      <c r="V145" s="1" t="s">
        <v>560</v>
      </c>
    </row>
    <row r="146" spans="1:22" x14ac:dyDescent="0.2">
      <c r="A146">
        <v>141</v>
      </c>
      <c r="B146" t="s">
        <v>299</v>
      </c>
      <c r="C146" t="s">
        <v>282</v>
      </c>
      <c r="D146" t="s">
        <v>477</v>
      </c>
      <c r="E146" t="s">
        <v>531</v>
      </c>
      <c r="F146">
        <v>4076</v>
      </c>
      <c r="G146" t="s">
        <v>11</v>
      </c>
      <c r="H146" t="s">
        <v>415</v>
      </c>
      <c r="I146" t="s">
        <v>404</v>
      </c>
      <c r="J146" t="s">
        <v>424</v>
      </c>
      <c r="K146">
        <v>0</v>
      </c>
      <c r="L146" s="1" t="s">
        <v>532</v>
      </c>
      <c r="M146" t="s">
        <v>533</v>
      </c>
      <c r="N146" s="1" t="s">
        <v>534</v>
      </c>
      <c r="O146" t="s">
        <v>561</v>
      </c>
      <c r="P146" t="s">
        <v>415</v>
      </c>
      <c r="Q146" t="s">
        <v>539</v>
      </c>
      <c r="R146" s="1" t="s">
        <v>536</v>
      </c>
      <c r="S146" s="1" t="s">
        <v>406</v>
      </c>
      <c r="T146" s="1" t="s">
        <v>406</v>
      </c>
      <c r="U146" s="1" t="s">
        <v>559</v>
      </c>
      <c r="V146" s="1" t="s">
        <v>560</v>
      </c>
    </row>
    <row r="147" spans="1:22" x14ac:dyDescent="0.2">
      <c r="A147">
        <v>141</v>
      </c>
      <c r="B147" t="s">
        <v>299</v>
      </c>
      <c r="C147" t="s">
        <v>282</v>
      </c>
      <c r="D147" t="s">
        <v>477</v>
      </c>
      <c r="E147" t="s">
        <v>531</v>
      </c>
      <c r="F147">
        <v>4076</v>
      </c>
      <c r="G147" t="s">
        <v>24</v>
      </c>
      <c r="H147" t="s">
        <v>423</v>
      </c>
      <c r="I147" t="s">
        <v>404</v>
      </c>
      <c r="J147" t="s">
        <v>424</v>
      </c>
      <c r="K147">
        <v>12300</v>
      </c>
      <c r="L147" s="1" t="s">
        <v>532</v>
      </c>
      <c r="M147" t="s">
        <v>533</v>
      </c>
      <c r="N147" s="1" t="s">
        <v>534</v>
      </c>
      <c r="O147">
        <v>12300</v>
      </c>
      <c r="P147" t="s">
        <v>423</v>
      </c>
      <c r="Q147">
        <v>1</v>
      </c>
      <c r="R147" s="1" t="s">
        <v>536</v>
      </c>
      <c r="S147" s="1" t="s">
        <v>406</v>
      </c>
      <c r="T147" s="1" t="s">
        <v>406</v>
      </c>
      <c r="U147" s="1" t="s">
        <v>559</v>
      </c>
      <c r="V147" s="1" t="s">
        <v>560</v>
      </c>
    </row>
    <row r="148" spans="1:22" x14ac:dyDescent="0.2">
      <c r="A148">
        <v>141</v>
      </c>
      <c r="B148" t="s">
        <v>299</v>
      </c>
      <c r="C148" t="s">
        <v>282</v>
      </c>
      <c r="D148" t="s">
        <v>477</v>
      </c>
      <c r="E148" t="s">
        <v>531</v>
      </c>
      <c r="F148">
        <v>4076</v>
      </c>
      <c r="G148" t="s">
        <v>26</v>
      </c>
      <c r="H148" t="s">
        <v>496</v>
      </c>
      <c r="I148" t="s">
        <v>404</v>
      </c>
      <c r="J148" t="s">
        <v>424</v>
      </c>
      <c r="K148">
        <v>100</v>
      </c>
      <c r="L148" s="1" t="s">
        <v>406</v>
      </c>
      <c r="M148" t="s">
        <v>416</v>
      </c>
      <c r="N148" s="1" t="s">
        <v>497</v>
      </c>
      <c r="O148" t="s">
        <v>498</v>
      </c>
      <c r="P148" t="s">
        <v>496</v>
      </c>
      <c r="Q148">
        <v>1</v>
      </c>
      <c r="R148" s="1" t="s">
        <v>406</v>
      </c>
      <c r="S148" s="1" t="s">
        <v>406</v>
      </c>
      <c r="T148" s="1" t="s">
        <v>406</v>
      </c>
      <c r="U148" s="1" t="s">
        <v>499</v>
      </c>
      <c r="V148" s="1" t="s">
        <v>562</v>
      </c>
    </row>
    <row r="149" spans="1:22" x14ac:dyDescent="0.2">
      <c r="A149" s="1">
        <v>143</v>
      </c>
      <c r="B149" s="1" t="s">
        <v>305</v>
      </c>
      <c r="C149" s="1" t="s">
        <v>282</v>
      </c>
      <c r="D149" s="1" t="s">
        <v>31</v>
      </c>
      <c r="E149" s="1" t="s">
        <v>563</v>
      </c>
      <c r="F149" s="1">
        <v>335</v>
      </c>
      <c r="G149" s="1" t="s">
        <v>13</v>
      </c>
      <c r="H149" s="1" t="s">
        <v>403</v>
      </c>
      <c r="I149" s="1" t="s">
        <v>404</v>
      </c>
      <c r="J149" s="1" t="s">
        <v>405</v>
      </c>
      <c r="K149" s="1">
        <v>0</v>
      </c>
      <c r="L149" s="1" t="s">
        <v>406</v>
      </c>
      <c r="M149" s="1" t="s">
        <v>407</v>
      </c>
      <c r="N149" s="1" t="s">
        <v>408</v>
      </c>
      <c r="O149" s="1" t="s">
        <v>409</v>
      </c>
      <c r="P149" s="1" t="s">
        <v>403</v>
      </c>
      <c r="Q149" s="1">
        <v>1</v>
      </c>
      <c r="R149" s="1" t="s">
        <v>410</v>
      </c>
      <c r="S149" s="1" t="s">
        <v>411</v>
      </c>
      <c r="T149" s="1" t="s">
        <v>412</v>
      </c>
      <c r="U149" s="1" t="s">
        <v>413</v>
      </c>
      <c r="V149" s="1" t="s">
        <v>414</v>
      </c>
    </row>
    <row r="150" spans="1:22" ht="16" customHeight="1" x14ac:dyDescent="0.2">
      <c r="A150">
        <v>143</v>
      </c>
      <c r="B150" t="s">
        <v>305</v>
      </c>
      <c r="C150" t="s">
        <v>282</v>
      </c>
      <c r="D150" t="s">
        <v>31</v>
      </c>
      <c r="E150" t="s">
        <v>563</v>
      </c>
      <c r="F150">
        <v>335</v>
      </c>
      <c r="G150" t="s">
        <v>9</v>
      </c>
      <c r="H150" t="s">
        <v>415</v>
      </c>
      <c r="I150" t="s">
        <v>404</v>
      </c>
      <c r="J150" t="s">
        <v>405</v>
      </c>
      <c r="K150">
        <v>0</v>
      </c>
      <c r="L150" s="11" t="s">
        <v>406</v>
      </c>
      <c r="M150" t="s">
        <v>416</v>
      </c>
      <c r="N150" s="11" t="s">
        <v>417</v>
      </c>
      <c r="O150" t="s">
        <v>418</v>
      </c>
      <c r="P150" t="s">
        <v>415</v>
      </c>
      <c r="Q150">
        <v>1</v>
      </c>
      <c r="R150" s="11" t="s">
        <v>406</v>
      </c>
      <c r="S150" s="11" t="s">
        <v>406</v>
      </c>
      <c r="T150" s="11" t="s">
        <v>406</v>
      </c>
      <c r="U150" s="11" t="s">
        <v>419</v>
      </c>
      <c r="V150" s="11" t="s">
        <v>420</v>
      </c>
    </row>
    <row r="151" spans="1:22" x14ac:dyDescent="0.2">
      <c r="A151">
        <v>147</v>
      </c>
      <c r="B151" t="s">
        <v>312</v>
      </c>
      <c r="C151" t="s">
        <v>310</v>
      </c>
      <c r="D151" t="s">
        <v>31</v>
      </c>
      <c r="E151" t="s">
        <v>564</v>
      </c>
      <c r="F151">
        <v>3172</v>
      </c>
      <c r="G151" t="s">
        <v>6</v>
      </c>
      <c r="H151" t="s">
        <v>493</v>
      </c>
      <c r="I151" t="s">
        <v>404</v>
      </c>
      <c r="J151" t="s">
        <v>424</v>
      </c>
      <c r="K151">
        <v>440</v>
      </c>
      <c r="L151" s="1" t="s">
        <v>425</v>
      </c>
      <c r="M151" t="s">
        <v>565</v>
      </c>
      <c r="N151" s="1" t="s">
        <v>566</v>
      </c>
      <c r="O151">
        <v>440</v>
      </c>
      <c r="P151" t="s">
        <v>493</v>
      </c>
      <c r="Q151">
        <v>1</v>
      </c>
      <c r="R151" s="1" t="s">
        <v>567</v>
      </c>
      <c r="S151" s="1" t="s">
        <v>406</v>
      </c>
      <c r="T151" s="1" t="s">
        <v>406</v>
      </c>
      <c r="U151" s="1" t="s">
        <v>568</v>
      </c>
      <c r="V151" s="1" t="s">
        <v>569</v>
      </c>
    </row>
    <row r="152" spans="1:22" x14ac:dyDescent="0.2">
      <c r="A152">
        <v>147</v>
      </c>
      <c r="B152" t="s">
        <v>312</v>
      </c>
      <c r="C152" t="s">
        <v>310</v>
      </c>
      <c r="D152" t="s">
        <v>31</v>
      </c>
      <c r="E152" t="s">
        <v>564</v>
      </c>
      <c r="F152">
        <v>3172</v>
      </c>
      <c r="G152" t="s">
        <v>7</v>
      </c>
      <c r="H152" t="s">
        <v>415</v>
      </c>
      <c r="I152" t="s">
        <v>404</v>
      </c>
      <c r="J152" t="s">
        <v>424</v>
      </c>
      <c r="K152">
        <v>10.199999999999999</v>
      </c>
      <c r="L152" s="1" t="s">
        <v>425</v>
      </c>
      <c r="M152" t="s">
        <v>565</v>
      </c>
      <c r="N152" s="1" t="s">
        <v>566</v>
      </c>
      <c r="O152">
        <v>10.199999999999999</v>
      </c>
      <c r="P152" t="s">
        <v>415</v>
      </c>
      <c r="Q152">
        <v>1</v>
      </c>
      <c r="R152" s="1" t="s">
        <v>567</v>
      </c>
      <c r="S152" s="1" t="s">
        <v>406</v>
      </c>
      <c r="T152" s="1" t="s">
        <v>406</v>
      </c>
      <c r="U152" s="1" t="s">
        <v>568</v>
      </c>
      <c r="V152" s="1" t="s">
        <v>569</v>
      </c>
    </row>
    <row r="153" spans="1:22" x14ac:dyDescent="0.2">
      <c r="A153">
        <v>147</v>
      </c>
      <c r="B153" t="s">
        <v>312</v>
      </c>
      <c r="C153" t="s">
        <v>310</v>
      </c>
      <c r="D153" t="s">
        <v>31</v>
      </c>
      <c r="E153" t="s">
        <v>564</v>
      </c>
      <c r="F153">
        <v>3172</v>
      </c>
      <c r="G153" t="s">
        <v>8</v>
      </c>
      <c r="H153" t="s">
        <v>415</v>
      </c>
      <c r="I153" t="s">
        <v>404</v>
      </c>
      <c r="J153" t="s">
        <v>424</v>
      </c>
      <c r="K153">
        <v>17.600000000000001</v>
      </c>
      <c r="L153" s="1" t="s">
        <v>425</v>
      </c>
      <c r="M153" t="s">
        <v>565</v>
      </c>
      <c r="N153" s="1" t="s">
        <v>566</v>
      </c>
      <c r="O153">
        <v>17.600000000000001</v>
      </c>
      <c r="P153" t="s">
        <v>415</v>
      </c>
      <c r="Q153">
        <v>1</v>
      </c>
      <c r="R153" s="1" t="s">
        <v>567</v>
      </c>
      <c r="S153" s="1" t="s">
        <v>406</v>
      </c>
      <c r="T153" s="1" t="s">
        <v>406</v>
      </c>
      <c r="U153" s="1" t="s">
        <v>568</v>
      </c>
      <c r="V153" s="1" t="s">
        <v>569</v>
      </c>
    </row>
    <row r="154" spans="1:22" ht="16" customHeight="1" x14ac:dyDescent="0.2">
      <c r="A154">
        <v>147</v>
      </c>
      <c r="B154" t="s">
        <v>312</v>
      </c>
      <c r="C154" t="s">
        <v>310</v>
      </c>
      <c r="D154" t="s">
        <v>31</v>
      </c>
      <c r="E154" t="s">
        <v>564</v>
      </c>
      <c r="F154">
        <v>3172</v>
      </c>
      <c r="G154" t="s">
        <v>9</v>
      </c>
      <c r="H154" t="s">
        <v>415</v>
      </c>
      <c r="I154" t="s">
        <v>404</v>
      </c>
      <c r="J154" t="s">
        <v>405</v>
      </c>
      <c r="K154">
        <v>0</v>
      </c>
      <c r="L154" s="11" t="s">
        <v>406</v>
      </c>
      <c r="M154" t="s">
        <v>416</v>
      </c>
      <c r="N154" s="11" t="s">
        <v>417</v>
      </c>
      <c r="O154" t="s">
        <v>418</v>
      </c>
      <c r="P154" t="s">
        <v>415</v>
      </c>
      <c r="Q154">
        <v>1</v>
      </c>
      <c r="R154" s="11" t="s">
        <v>406</v>
      </c>
      <c r="S154" s="11" t="s">
        <v>406</v>
      </c>
      <c r="T154" s="11" t="s">
        <v>406</v>
      </c>
      <c r="U154" s="11" t="s">
        <v>419</v>
      </c>
      <c r="V154" s="11" t="s">
        <v>420</v>
      </c>
    </row>
    <row r="155" spans="1:22" x14ac:dyDescent="0.2">
      <c r="A155">
        <v>147</v>
      </c>
      <c r="B155" t="s">
        <v>312</v>
      </c>
      <c r="C155" t="s">
        <v>310</v>
      </c>
      <c r="D155" t="s">
        <v>31</v>
      </c>
      <c r="E155" t="s">
        <v>564</v>
      </c>
      <c r="F155">
        <v>3172</v>
      </c>
      <c r="G155" t="s">
        <v>10</v>
      </c>
      <c r="H155" t="s">
        <v>415</v>
      </c>
      <c r="I155" t="s">
        <v>404</v>
      </c>
      <c r="J155" t="s">
        <v>424</v>
      </c>
      <c r="K155">
        <v>60.3</v>
      </c>
      <c r="L155" s="1" t="s">
        <v>425</v>
      </c>
      <c r="M155" t="s">
        <v>565</v>
      </c>
      <c r="N155" s="1" t="s">
        <v>566</v>
      </c>
      <c r="O155">
        <v>60.3</v>
      </c>
      <c r="P155" t="s">
        <v>415</v>
      </c>
      <c r="Q155">
        <v>1</v>
      </c>
      <c r="R155" s="1" t="s">
        <v>567</v>
      </c>
      <c r="S155" s="1" t="s">
        <v>406</v>
      </c>
      <c r="T155" s="1" t="s">
        <v>406</v>
      </c>
      <c r="U155" s="1" t="s">
        <v>568</v>
      </c>
      <c r="V155" s="1" t="s">
        <v>569</v>
      </c>
    </row>
    <row r="156" spans="1:22" x14ac:dyDescent="0.2">
      <c r="A156">
        <v>147</v>
      </c>
      <c r="B156" t="s">
        <v>312</v>
      </c>
      <c r="C156" t="s">
        <v>310</v>
      </c>
      <c r="D156" t="s">
        <v>31</v>
      </c>
      <c r="E156" t="s">
        <v>564</v>
      </c>
      <c r="F156">
        <v>3172</v>
      </c>
      <c r="G156" t="s">
        <v>11</v>
      </c>
      <c r="H156" t="s">
        <v>415</v>
      </c>
      <c r="I156" t="s">
        <v>404</v>
      </c>
      <c r="J156" t="s">
        <v>424</v>
      </c>
      <c r="K156">
        <v>2.9</v>
      </c>
      <c r="L156" s="1" t="s">
        <v>425</v>
      </c>
      <c r="M156" t="s">
        <v>565</v>
      </c>
      <c r="N156" s="1" t="s">
        <v>566</v>
      </c>
      <c r="O156">
        <v>2.9</v>
      </c>
      <c r="P156" t="s">
        <v>415</v>
      </c>
      <c r="Q156">
        <v>1</v>
      </c>
      <c r="R156" s="1" t="s">
        <v>567</v>
      </c>
      <c r="S156" s="1" t="s">
        <v>406</v>
      </c>
      <c r="T156" s="1" t="s">
        <v>406</v>
      </c>
      <c r="U156" s="1" t="s">
        <v>568</v>
      </c>
      <c r="V156" s="1" t="s">
        <v>569</v>
      </c>
    </row>
    <row r="157" spans="1:22" x14ac:dyDescent="0.2">
      <c r="A157">
        <v>147</v>
      </c>
      <c r="B157" t="s">
        <v>312</v>
      </c>
      <c r="C157" t="s">
        <v>310</v>
      </c>
      <c r="D157" t="s">
        <v>31</v>
      </c>
      <c r="E157" t="s">
        <v>564</v>
      </c>
      <c r="F157">
        <v>3172</v>
      </c>
      <c r="G157" t="s">
        <v>12</v>
      </c>
      <c r="H157" t="s">
        <v>415</v>
      </c>
      <c r="I157" t="s">
        <v>404</v>
      </c>
      <c r="J157" t="s">
        <v>424</v>
      </c>
      <c r="K157">
        <v>5.45</v>
      </c>
      <c r="L157" s="1" t="s">
        <v>425</v>
      </c>
      <c r="M157" t="s">
        <v>565</v>
      </c>
      <c r="N157" s="1" t="s">
        <v>566</v>
      </c>
      <c r="O157">
        <v>5.45</v>
      </c>
      <c r="P157" t="s">
        <v>415</v>
      </c>
      <c r="Q157">
        <v>1</v>
      </c>
      <c r="R157" s="1" t="s">
        <v>567</v>
      </c>
      <c r="S157" s="1" t="s">
        <v>406</v>
      </c>
      <c r="T157" s="1" t="s">
        <v>406</v>
      </c>
      <c r="U157" s="1" t="s">
        <v>568</v>
      </c>
      <c r="V157" s="1" t="s">
        <v>569</v>
      </c>
    </row>
    <row r="158" spans="1:22" x14ac:dyDescent="0.2">
      <c r="A158">
        <v>147</v>
      </c>
      <c r="B158" t="s">
        <v>312</v>
      </c>
      <c r="C158" t="s">
        <v>310</v>
      </c>
      <c r="D158" t="s">
        <v>31</v>
      </c>
      <c r="E158" t="s">
        <v>564</v>
      </c>
      <c r="F158">
        <v>3172</v>
      </c>
      <c r="G158" t="s">
        <v>13</v>
      </c>
      <c r="H158" t="s">
        <v>403</v>
      </c>
      <c r="I158" t="s">
        <v>404</v>
      </c>
      <c r="J158" t="s">
        <v>424</v>
      </c>
      <c r="K158">
        <v>0</v>
      </c>
      <c r="L158" s="1" t="s">
        <v>425</v>
      </c>
      <c r="M158" t="s">
        <v>565</v>
      </c>
      <c r="N158" s="1" t="s">
        <v>566</v>
      </c>
      <c r="O158">
        <v>0</v>
      </c>
      <c r="P158" t="s">
        <v>403</v>
      </c>
      <c r="Q158">
        <v>1</v>
      </c>
      <c r="R158" s="1" t="s">
        <v>567</v>
      </c>
      <c r="S158" s="1" t="s">
        <v>406</v>
      </c>
      <c r="T158" s="1" t="s">
        <v>406</v>
      </c>
      <c r="U158" s="1" t="s">
        <v>429</v>
      </c>
      <c r="V158" s="1" t="s">
        <v>569</v>
      </c>
    </row>
    <row r="159" spans="1:22" x14ac:dyDescent="0.2">
      <c r="A159">
        <v>147</v>
      </c>
      <c r="B159" t="s">
        <v>312</v>
      </c>
      <c r="C159" t="s">
        <v>310</v>
      </c>
      <c r="D159" t="s">
        <v>31</v>
      </c>
      <c r="E159" t="s">
        <v>564</v>
      </c>
      <c r="F159">
        <v>3172</v>
      </c>
      <c r="G159" t="s">
        <v>14</v>
      </c>
      <c r="H159" t="s">
        <v>403</v>
      </c>
      <c r="I159" t="s">
        <v>404</v>
      </c>
      <c r="J159" t="s">
        <v>424</v>
      </c>
      <c r="K159">
        <v>6</v>
      </c>
      <c r="L159" s="1" t="s">
        <v>425</v>
      </c>
      <c r="M159" t="s">
        <v>565</v>
      </c>
      <c r="N159" s="1" t="s">
        <v>566</v>
      </c>
      <c r="O159">
        <v>6</v>
      </c>
      <c r="P159" t="s">
        <v>403</v>
      </c>
      <c r="Q159">
        <v>1</v>
      </c>
      <c r="R159" s="1" t="s">
        <v>567</v>
      </c>
      <c r="S159" s="1" t="s">
        <v>406</v>
      </c>
      <c r="T159" s="1" t="s">
        <v>406</v>
      </c>
      <c r="U159" s="1" t="s">
        <v>429</v>
      </c>
      <c r="V159" s="1" t="s">
        <v>569</v>
      </c>
    </row>
    <row r="160" spans="1:22" x14ac:dyDescent="0.2">
      <c r="A160">
        <v>147</v>
      </c>
      <c r="B160" t="s">
        <v>312</v>
      </c>
      <c r="C160" t="s">
        <v>310</v>
      </c>
      <c r="D160" t="s">
        <v>31</v>
      </c>
      <c r="E160" t="s">
        <v>564</v>
      </c>
      <c r="F160">
        <v>3172</v>
      </c>
      <c r="G160" t="s">
        <v>15</v>
      </c>
      <c r="H160" t="s">
        <v>423</v>
      </c>
      <c r="I160" t="s">
        <v>404</v>
      </c>
      <c r="J160" t="s">
        <v>424</v>
      </c>
      <c r="K160">
        <v>0.44800000000000001</v>
      </c>
      <c r="L160" s="1" t="s">
        <v>425</v>
      </c>
      <c r="M160" t="s">
        <v>565</v>
      </c>
      <c r="N160" s="1" t="s">
        <v>566</v>
      </c>
      <c r="O160">
        <v>0.44800000000000001</v>
      </c>
      <c r="P160" t="s">
        <v>423</v>
      </c>
      <c r="Q160">
        <v>1</v>
      </c>
      <c r="R160" s="1" t="s">
        <v>567</v>
      </c>
      <c r="S160" s="1" t="s">
        <v>406</v>
      </c>
      <c r="T160" s="1" t="s">
        <v>406</v>
      </c>
      <c r="U160" s="1" t="s">
        <v>568</v>
      </c>
      <c r="V160" s="1" t="s">
        <v>569</v>
      </c>
    </row>
    <row r="161" spans="1:22" x14ac:dyDescent="0.2">
      <c r="A161">
        <v>147</v>
      </c>
      <c r="B161" t="s">
        <v>312</v>
      </c>
      <c r="C161" t="s">
        <v>310</v>
      </c>
      <c r="D161" t="s">
        <v>31</v>
      </c>
      <c r="E161" t="s">
        <v>564</v>
      </c>
      <c r="F161">
        <v>3172</v>
      </c>
      <c r="G161" t="s">
        <v>16</v>
      </c>
      <c r="H161" t="s">
        <v>423</v>
      </c>
      <c r="I161" t="s">
        <v>404</v>
      </c>
      <c r="J161" t="s">
        <v>424</v>
      </c>
      <c r="K161">
        <v>0.255</v>
      </c>
      <c r="L161" s="1" t="s">
        <v>425</v>
      </c>
      <c r="M161" t="s">
        <v>565</v>
      </c>
      <c r="N161" s="1" t="s">
        <v>566</v>
      </c>
      <c r="O161">
        <v>0.255</v>
      </c>
      <c r="P161" t="s">
        <v>423</v>
      </c>
      <c r="Q161">
        <v>1</v>
      </c>
      <c r="R161" s="1" t="s">
        <v>567</v>
      </c>
      <c r="S161" s="1" t="s">
        <v>406</v>
      </c>
      <c r="T161" s="1" t="s">
        <v>406</v>
      </c>
      <c r="U161" s="1" t="s">
        <v>568</v>
      </c>
      <c r="V161" s="1" t="s">
        <v>569</v>
      </c>
    </row>
    <row r="162" spans="1:22" x14ac:dyDescent="0.2">
      <c r="A162">
        <v>147</v>
      </c>
      <c r="B162" t="s">
        <v>312</v>
      </c>
      <c r="C162" t="s">
        <v>310</v>
      </c>
      <c r="D162" t="s">
        <v>31</v>
      </c>
      <c r="E162" t="s">
        <v>564</v>
      </c>
      <c r="F162">
        <v>3172</v>
      </c>
      <c r="G162" t="s">
        <v>17</v>
      </c>
      <c r="H162" t="s">
        <v>423</v>
      </c>
      <c r="I162" t="s">
        <v>404</v>
      </c>
      <c r="J162" t="s">
        <v>424</v>
      </c>
      <c r="K162">
        <v>5.4</v>
      </c>
      <c r="L162" s="1" t="s">
        <v>425</v>
      </c>
      <c r="M162" t="s">
        <v>565</v>
      </c>
      <c r="N162" s="1" t="s">
        <v>566</v>
      </c>
      <c r="O162">
        <v>5.4</v>
      </c>
      <c r="P162" t="s">
        <v>423</v>
      </c>
      <c r="Q162">
        <v>1</v>
      </c>
      <c r="R162" s="1" t="s">
        <v>567</v>
      </c>
      <c r="S162" s="1" t="s">
        <v>406</v>
      </c>
      <c r="T162" s="1" t="s">
        <v>406</v>
      </c>
      <c r="U162" s="1" t="s">
        <v>568</v>
      </c>
      <c r="V162" s="1" t="s">
        <v>569</v>
      </c>
    </row>
    <row r="163" spans="1:22" x14ac:dyDescent="0.2">
      <c r="A163">
        <v>147</v>
      </c>
      <c r="B163" t="s">
        <v>312</v>
      </c>
      <c r="C163" t="s">
        <v>310</v>
      </c>
      <c r="D163" t="s">
        <v>31</v>
      </c>
      <c r="E163" t="s">
        <v>564</v>
      </c>
      <c r="F163">
        <v>3172</v>
      </c>
      <c r="G163" t="s">
        <v>18</v>
      </c>
      <c r="H163" t="s">
        <v>423</v>
      </c>
      <c r="I163" t="s">
        <v>404</v>
      </c>
      <c r="J163" t="s">
        <v>424</v>
      </c>
      <c r="K163">
        <v>0.3</v>
      </c>
      <c r="L163" s="1" t="s">
        <v>425</v>
      </c>
      <c r="M163" t="s">
        <v>565</v>
      </c>
      <c r="N163" s="1" t="s">
        <v>566</v>
      </c>
      <c r="O163">
        <v>0.3</v>
      </c>
      <c r="P163" t="s">
        <v>423</v>
      </c>
      <c r="Q163">
        <v>1</v>
      </c>
      <c r="R163" s="1" t="s">
        <v>567</v>
      </c>
      <c r="S163" s="1" t="s">
        <v>406</v>
      </c>
      <c r="T163" s="1" t="s">
        <v>406</v>
      </c>
      <c r="U163" s="1" t="s">
        <v>568</v>
      </c>
      <c r="V163" s="1" t="s">
        <v>569</v>
      </c>
    </row>
    <row r="164" spans="1:22" x14ac:dyDescent="0.2">
      <c r="A164">
        <v>147</v>
      </c>
      <c r="B164" t="s">
        <v>312</v>
      </c>
      <c r="C164" t="s">
        <v>310</v>
      </c>
      <c r="D164" t="s">
        <v>31</v>
      </c>
      <c r="E164" t="s">
        <v>564</v>
      </c>
      <c r="F164">
        <v>3172</v>
      </c>
      <c r="G164" t="s">
        <v>19</v>
      </c>
      <c r="H164" t="s">
        <v>423</v>
      </c>
      <c r="I164" t="s">
        <v>404</v>
      </c>
      <c r="J164" t="s">
        <v>424</v>
      </c>
      <c r="K164">
        <v>21</v>
      </c>
      <c r="L164" s="1" t="s">
        <v>425</v>
      </c>
      <c r="M164" t="s">
        <v>565</v>
      </c>
      <c r="N164" s="1" t="s">
        <v>566</v>
      </c>
      <c r="O164">
        <v>21</v>
      </c>
      <c r="P164" t="s">
        <v>423</v>
      </c>
      <c r="Q164">
        <v>1</v>
      </c>
      <c r="R164" s="1" t="s">
        <v>567</v>
      </c>
      <c r="S164" s="1" t="s">
        <v>406</v>
      </c>
      <c r="T164" s="1" t="s">
        <v>406</v>
      </c>
      <c r="U164" s="1" t="s">
        <v>568</v>
      </c>
      <c r="V164" s="1" t="s">
        <v>569</v>
      </c>
    </row>
    <row r="165" spans="1:22" x14ac:dyDescent="0.2">
      <c r="A165">
        <v>147</v>
      </c>
      <c r="B165" t="s">
        <v>312</v>
      </c>
      <c r="C165" t="s">
        <v>310</v>
      </c>
      <c r="D165" t="s">
        <v>31</v>
      </c>
      <c r="E165" t="s">
        <v>564</v>
      </c>
      <c r="F165">
        <v>3172</v>
      </c>
      <c r="G165" t="s">
        <v>20</v>
      </c>
      <c r="H165" t="s">
        <v>423</v>
      </c>
      <c r="I165" t="s">
        <v>404</v>
      </c>
      <c r="J165" t="s">
        <v>424</v>
      </c>
      <c r="K165">
        <v>0.126</v>
      </c>
      <c r="L165" s="1" t="s">
        <v>425</v>
      </c>
      <c r="M165" t="s">
        <v>565</v>
      </c>
      <c r="N165" s="1" t="s">
        <v>566</v>
      </c>
      <c r="O165">
        <v>0.126</v>
      </c>
      <c r="P165" t="s">
        <v>423</v>
      </c>
      <c r="Q165">
        <v>1</v>
      </c>
      <c r="R165" s="1" t="s">
        <v>567</v>
      </c>
      <c r="S165" s="1" t="s">
        <v>406</v>
      </c>
      <c r="T165" s="1" t="s">
        <v>406</v>
      </c>
      <c r="U165" s="1" t="s">
        <v>568</v>
      </c>
      <c r="V165" s="1" t="s">
        <v>569</v>
      </c>
    </row>
    <row r="166" spans="1:22" x14ac:dyDescent="0.2">
      <c r="A166">
        <v>147</v>
      </c>
      <c r="B166" t="s">
        <v>312</v>
      </c>
      <c r="C166" t="s">
        <v>310</v>
      </c>
      <c r="D166" t="s">
        <v>31</v>
      </c>
      <c r="E166" t="s">
        <v>564</v>
      </c>
      <c r="F166">
        <v>3172</v>
      </c>
      <c r="G166" t="s">
        <v>21</v>
      </c>
      <c r="H166" t="s">
        <v>423</v>
      </c>
      <c r="I166" t="s">
        <v>404</v>
      </c>
      <c r="J166" t="s">
        <v>424</v>
      </c>
      <c r="K166">
        <v>4.1100000000000003</v>
      </c>
      <c r="L166" s="1" t="s">
        <v>425</v>
      </c>
      <c r="M166" t="s">
        <v>565</v>
      </c>
      <c r="N166" s="1" t="s">
        <v>566</v>
      </c>
      <c r="O166">
        <v>4.1100000000000003</v>
      </c>
      <c r="P166" t="s">
        <v>423</v>
      </c>
      <c r="Q166">
        <v>1</v>
      </c>
      <c r="R166" s="1" t="s">
        <v>567</v>
      </c>
      <c r="S166" s="1" t="s">
        <v>406</v>
      </c>
      <c r="T166" s="1" t="s">
        <v>406</v>
      </c>
      <c r="U166" s="1" t="s">
        <v>568</v>
      </c>
      <c r="V166" s="1" t="s">
        <v>569</v>
      </c>
    </row>
    <row r="167" spans="1:22" x14ac:dyDescent="0.2">
      <c r="A167">
        <v>147</v>
      </c>
      <c r="B167" t="s">
        <v>312</v>
      </c>
      <c r="C167" t="s">
        <v>310</v>
      </c>
      <c r="D167" t="s">
        <v>31</v>
      </c>
      <c r="E167" t="s">
        <v>564</v>
      </c>
      <c r="F167">
        <v>3172</v>
      </c>
      <c r="G167" t="s">
        <v>22</v>
      </c>
      <c r="H167" t="s">
        <v>423</v>
      </c>
      <c r="I167" t="s">
        <v>404</v>
      </c>
      <c r="J167" t="s">
        <v>424</v>
      </c>
      <c r="K167">
        <v>115</v>
      </c>
      <c r="L167" s="1" t="s">
        <v>425</v>
      </c>
      <c r="M167" t="s">
        <v>565</v>
      </c>
      <c r="N167" s="1" t="s">
        <v>566</v>
      </c>
      <c r="O167">
        <v>115</v>
      </c>
      <c r="P167" t="s">
        <v>423</v>
      </c>
      <c r="Q167">
        <v>1</v>
      </c>
      <c r="R167" s="1" t="s">
        <v>567</v>
      </c>
      <c r="S167" s="1" t="s">
        <v>406</v>
      </c>
      <c r="T167" s="1" t="s">
        <v>406</v>
      </c>
      <c r="U167" s="1" t="s">
        <v>568</v>
      </c>
      <c r="V167" s="1" t="s">
        <v>569</v>
      </c>
    </row>
    <row r="168" spans="1:22" x14ac:dyDescent="0.2">
      <c r="A168">
        <v>147</v>
      </c>
      <c r="B168" t="s">
        <v>312</v>
      </c>
      <c r="C168" t="s">
        <v>310</v>
      </c>
      <c r="D168" t="s">
        <v>31</v>
      </c>
      <c r="E168" t="s">
        <v>564</v>
      </c>
      <c r="F168">
        <v>3172</v>
      </c>
      <c r="G168" t="s">
        <v>23</v>
      </c>
      <c r="H168" t="s">
        <v>423</v>
      </c>
      <c r="I168" t="s">
        <v>404</v>
      </c>
      <c r="J168" t="s">
        <v>424</v>
      </c>
      <c r="K168">
        <v>181</v>
      </c>
      <c r="L168" s="1" t="s">
        <v>425</v>
      </c>
      <c r="M168" t="s">
        <v>565</v>
      </c>
      <c r="N168" s="1" t="s">
        <v>566</v>
      </c>
      <c r="O168">
        <v>181</v>
      </c>
      <c r="P168" t="s">
        <v>423</v>
      </c>
      <c r="Q168">
        <v>1</v>
      </c>
      <c r="R168" s="1" t="s">
        <v>567</v>
      </c>
      <c r="S168" s="1" t="s">
        <v>406</v>
      </c>
      <c r="T168" s="1" t="s">
        <v>406</v>
      </c>
      <c r="U168" s="1" t="s">
        <v>568</v>
      </c>
      <c r="V168" s="1" t="s">
        <v>569</v>
      </c>
    </row>
    <row r="169" spans="1:22" x14ac:dyDescent="0.2">
      <c r="A169">
        <v>147</v>
      </c>
      <c r="B169" t="s">
        <v>312</v>
      </c>
      <c r="C169" t="s">
        <v>310</v>
      </c>
      <c r="D169" t="s">
        <v>31</v>
      </c>
      <c r="E169" t="s">
        <v>564</v>
      </c>
      <c r="F169">
        <v>3172</v>
      </c>
      <c r="G169" t="s">
        <v>24</v>
      </c>
      <c r="H169" t="s">
        <v>423</v>
      </c>
      <c r="I169" t="s">
        <v>404</v>
      </c>
      <c r="J169" t="s">
        <v>424</v>
      </c>
      <c r="K169">
        <v>1860</v>
      </c>
      <c r="L169" s="1" t="s">
        <v>425</v>
      </c>
      <c r="M169" t="s">
        <v>565</v>
      </c>
      <c r="N169" s="1" t="s">
        <v>566</v>
      </c>
      <c r="O169">
        <v>1860</v>
      </c>
      <c r="P169" t="s">
        <v>423</v>
      </c>
      <c r="Q169">
        <v>1</v>
      </c>
      <c r="R169" s="1" t="s">
        <v>567</v>
      </c>
      <c r="S169" s="1" t="s">
        <v>406</v>
      </c>
      <c r="T169" s="1" t="s">
        <v>406</v>
      </c>
      <c r="U169" s="1" t="s">
        <v>568</v>
      </c>
      <c r="V169" s="1" t="s">
        <v>569</v>
      </c>
    </row>
    <row r="170" spans="1:22" x14ac:dyDescent="0.2">
      <c r="A170">
        <v>147</v>
      </c>
      <c r="B170" t="s">
        <v>312</v>
      </c>
      <c r="C170" t="s">
        <v>310</v>
      </c>
      <c r="D170" t="s">
        <v>31</v>
      </c>
      <c r="E170" t="s">
        <v>564</v>
      </c>
      <c r="F170">
        <v>3172</v>
      </c>
      <c r="G170" t="s">
        <v>25</v>
      </c>
      <c r="H170" t="s">
        <v>423</v>
      </c>
      <c r="I170" t="s">
        <v>404</v>
      </c>
      <c r="J170" t="s">
        <v>424</v>
      </c>
      <c r="K170">
        <v>0.6</v>
      </c>
      <c r="L170" s="1" t="s">
        <v>425</v>
      </c>
      <c r="M170" t="s">
        <v>565</v>
      </c>
      <c r="N170" s="1" t="s">
        <v>566</v>
      </c>
      <c r="O170">
        <v>0.6</v>
      </c>
      <c r="P170" t="s">
        <v>423</v>
      </c>
      <c r="Q170">
        <v>1</v>
      </c>
      <c r="R170" s="1" t="s">
        <v>567</v>
      </c>
      <c r="S170" s="1" t="s">
        <v>406</v>
      </c>
      <c r="T170" s="1" t="s">
        <v>406</v>
      </c>
      <c r="U170" s="1" t="s">
        <v>568</v>
      </c>
      <c r="V170" s="1" t="s">
        <v>569</v>
      </c>
    </row>
    <row r="171" spans="1:22" x14ac:dyDescent="0.2">
      <c r="A171">
        <v>149</v>
      </c>
      <c r="B171" t="s">
        <v>316</v>
      </c>
      <c r="C171" t="s">
        <v>310</v>
      </c>
      <c r="D171" t="s">
        <v>1591</v>
      </c>
      <c r="E171" t="s">
        <v>1575</v>
      </c>
      <c r="F171">
        <v>116</v>
      </c>
      <c r="G171" t="s">
        <v>6</v>
      </c>
      <c r="H171" t="s">
        <v>493</v>
      </c>
      <c r="I171" t="s">
        <v>404</v>
      </c>
      <c r="J171" t="s">
        <v>424</v>
      </c>
      <c r="K171">
        <v>390</v>
      </c>
      <c r="L171" s="1" t="s">
        <v>425</v>
      </c>
      <c r="M171" t="s">
        <v>570</v>
      </c>
      <c r="N171" s="1" t="s">
        <v>571</v>
      </c>
      <c r="O171">
        <v>390</v>
      </c>
      <c r="P171" t="s">
        <v>493</v>
      </c>
      <c r="Q171">
        <v>1</v>
      </c>
      <c r="R171" s="1" t="s">
        <v>572</v>
      </c>
      <c r="S171" s="1" t="s">
        <v>406</v>
      </c>
      <c r="T171" s="1" t="s">
        <v>406</v>
      </c>
      <c r="U171" s="1" t="s">
        <v>1593</v>
      </c>
      <c r="V171" s="1" t="s">
        <v>1577</v>
      </c>
    </row>
    <row r="172" spans="1:22" x14ac:dyDescent="0.2">
      <c r="A172">
        <v>149</v>
      </c>
      <c r="B172" t="s">
        <v>316</v>
      </c>
      <c r="C172" t="s">
        <v>310</v>
      </c>
      <c r="D172" t="s">
        <v>1591</v>
      </c>
      <c r="E172" t="s">
        <v>1575</v>
      </c>
      <c r="F172">
        <v>116</v>
      </c>
      <c r="G172" t="s">
        <v>7</v>
      </c>
      <c r="H172" t="s">
        <v>415</v>
      </c>
      <c r="I172" t="s">
        <v>404</v>
      </c>
      <c r="J172" t="s">
        <v>424</v>
      </c>
      <c r="K172">
        <v>6.65</v>
      </c>
      <c r="L172" s="1" t="s">
        <v>425</v>
      </c>
      <c r="M172" t="s">
        <v>570</v>
      </c>
      <c r="N172" s="1" t="s">
        <v>571</v>
      </c>
      <c r="O172">
        <v>6.65</v>
      </c>
      <c r="P172" t="s">
        <v>415</v>
      </c>
      <c r="Q172">
        <v>1</v>
      </c>
      <c r="R172" s="1" t="s">
        <v>572</v>
      </c>
      <c r="S172" s="1" t="s">
        <v>406</v>
      </c>
      <c r="T172" s="1" t="s">
        <v>406</v>
      </c>
      <c r="U172" s="1" t="s">
        <v>1593</v>
      </c>
      <c r="V172" s="1" t="s">
        <v>1577</v>
      </c>
    </row>
    <row r="173" spans="1:22" x14ac:dyDescent="0.2">
      <c r="A173">
        <v>149</v>
      </c>
      <c r="B173" t="s">
        <v>316</v>
      </c>
      <c r="C173" t="s">
        <v>310</v>
      </c>
      <c r="D173" t="s">
        <v>1591</v>
      </c>
      <c r="E173" t="s">
        <v>1575</v>
      </c>
      <c r="F173">
        <v>116</v>
      </c>
      <c r="G173" t="s">
        <v>8</v>
      </c>
      <c r="H173" t="s">
        <v>415</v>
      </c>
      <c r="I173" t="s">
        <v>404</v>
      </c>
      <c r="J173" t="s">
        <v>424</v>
      </c>
      <c r="K173">
        <v>2.19</v>
      </c>
      <c r="L173" s="1" t="s">
        <v>425</v>
      </c>
      <c r="M173" t="s">
        <v>570</v>
      </c>
      <c r="N173" s="1" t="s">
        <v>571</v>
      </c>
      <c r="O173">
        <v>2.19</v>
      </c>
      <c r="P173" t="s">
        <v>415</v>
      </c>
      <c r="Q173">
        <v>1</v>
      </c>
      <c r="R173" s="1" t="s">
        <v>572</v>
      </c>
      <c r="S173" s="1" t="s">
        <v>406</v>
      </c>
      <c r="T173" s="1" t="s">
        <v>406</v>
      </c>
      <c r="U173" s="1" t="s">
        <v>1593</v>
      </c>
      <c r="V173" s="1" t="s">
        <v>1577</v>
      </c>
    </row>
    <row r="174" spans="1:22" ht="16" customHeight="1" x14ac:dyDescent="0.2">
      <c r="A174">
        <v>149</v>
      </c>
      <c r="B174" t="s">
        <v>316</v>
      </c>
      <c r="C174" t="s">
        <v>310</v>
      </c>
      <c r="D174" t="s">
        <v>1591</v>
      </c>
      <c r="E174" t="s">
        <v>1575</v>
      </c>
      <c r="F174">
        <v>116</v>
      </c>
      <c r="G174" t="s">
        <v>9</v>
      </c>
      <c r="H174" t="s">
        <v>415</v>
      </c>
      <c r="I174" t="s">
        <v>404</v>
      </c>
      <c r="J174" t="s">
        <v>405</v>
      </c>
      <c r="K174">
        <v>0</v>
      </c>
      <c r="L174" s="11" t="s">
        <v>406</v>
      </c>
      <c r="M174" t="s">
        <v>416</v>
      </c>
      <c r="N174" s="11" t="s">
        <v>417</v>
      </c>
      <c r="O174" t="s">
        <v>418</v>
      </c>
      <c r="P174" t="s">
        <v>415</v>
      </c>
      <c r="Q174">
        <v>1</v>
      </c>
      <c r="R174" s="11" t="s">
        <v>406</v>
      </c>
      <c r="S174" s="11" t="s">
        <v>406</v>
      </c>
      <c r="T174" s="11" t="s">
        <v>406</v>
      </c>
      <c r="U174" s="11" t="s">
        <v>419</v>
      </c>
      <c r="V174" s="11" t="s">
        <v>420</v>
      </c>
    </row>
    <row r="175" spans="1:22" x14ac:dyDescent="0.2">
      <c r="A175">
        <v>149</v>
      </c>
      <c r="B175" t="s">
        <v>316</v>
      </c>
      <c r="C175" t="s">
        <v>310</v>
      </c>
      <c r="D175" t="s">
        <v>1591</v>
      </c>
      <c r="E175" t="s">
        <v>1575</v>
      </c>
      <c r="F175">
        <v>116</v>
      </c>
      <c r="G175" t="s">
        <v>10</v>
      </c>
      <c r="H175" t="s">
        <v>415</v>
      </c>
      <c r="I175" t="s">
        <v>404</v>
      </c>
      <c r="J175" t="s">
        <v>424</v>
      </c>
      <c r="K175">
        <v>83.14</v>
      </c>
      <c r="L175" s="1" t="s">
        <v>425</v>
      </c>
      <c r="M175" t="s">
        <v>570</v>
      </c>
      <c r="N175" s="1" t="s">
        <v>571</v>
      </c>
      <c r="O175">
        <v>83.14</v>
      </c>
      <c r="P175" t="s">
        <v>415</v>
      </c>
      <c r="Q175">
        <v>1</v>
      </c>
      <c r="R175" s="1" t="s">
        <v>572</v>
      </c>
      <c r="S175" s="1" t="s">
        <v>406</v>
      </c>
      <c r="T175" s="1" t="s">
        <v>406</v>
      </c>
      <c r="U175" s="1" t="s">
        <v>1593</v>
      </c>
      <c r="V175" s="1" t="s">
        <v>1577</v>
      </c>
    </row>
    <row r="176" spans="1:22" x14ac:dyDescent="0.2">
      <c r="A176">
        <v>149</v>
      </c>
      <c r="B176" t="s">
        <v>316</v>
      </c>
      <c r="C176" t="s">
        <v>310</v>
      </c>
      <c r="D176" t="s">
        <v>1591</v>
      </c>
      <c r="E176" t="s">
        <v>1575</v>
      </c>
      <c r="F176">
        <v>116</v>
      </c>
      <c r="G176" t="s">
        <v>11</v>
      </c>
      <c r="H176" t="s">
        <v>415</v>
      </c>
      <c r="I176" t="s">
        <v>404</v>
      </c>
      <c r="J176" t="s">
        <v>424</v>
      </c>
      <c r="K176">
        <v>1.3</v>
      </c>
      <c r="L176" s="1" t="s">
        <v>425</v>
      </c>
      <c r="M176" t="s">
        <v>570</v>
      </c>
      <c r="N176" s="1" t="s">
        <v>571</v>
      </c>
      <c r="O176">
        <v>1.3</v>
      </c>
      <c r="P176" t="s">
        <v>415</v>
      </c>
      <c r="Q176">
        <v>1</v>
      </c>
      <c r="R176" s="1" t="s">
        <v>572</v>
      </c>
      <c r="S176" s="1" t="s">
        <v>406</v>
      </c>
      <c r="T176" s="1" t="s">
        <v>406</v>
      </c>
      <c r="U176" s="1" t="s">
        <v>1593</v>
      </c>
      <c r="V176" s="1" t="s">
        <v>1577</v>
      </c>
    </row>
    <row r="177" spans="1:22" x14ac:dyDescent="0.2">
      <c r="A177">
        <v>149</v>
      </c>
      <c r="B177" t="s">
        <v>316</v>
      </c>
      <c r="C177" t="s">
        <v>310</v>
      </c>
      <c r="D177" t="s">
        <v>1591</v>
      </c>
      <c r="E177" t="s">
        <v>1575</v>
      </c>
      <c r="F177">
        <v>116</v>
      </c>
      <c r="G177" t="s">
        <v>12</v>
      </c>
      <c r="H177" t="s">
        <v>415</v>
      </c>
      <c r="I177" t="s">
        <v>404</v>
      </c>
      <c r="J177" t="s">
        <v>424</v>
      </c>
      <c r="K177">
        <v>2.89</v>
      </c>
      <c r="L177" s="1" t="s">
        <v>425</v>
      </c>
      <c r="M177" t="s">
        <v>570</v>
      </c>
      <c r="N177" s="1" t="s">
        <v>571</v>
      </c>
      <c r="O177">
        <v>2.89</v>
      </c>
      <c r="P177" t="s">
        <v>415</v>
      </c>
      <c r="Q177">
        <v>1</v>
      </c>
      <c r="R177" s="1" t="s">
        <v>572</v>
      </c>
      <c r="S177" s="1" t="s">
        <v>406</v>
      </c>
      <c r="T177" s="1" t="s">
        <v>406</v>
      </c>
      <c r="U177" s="1" t="s">
        <v>1593</v>
      </c>
      <c r="V177" s="1" t="s">
        <v>1577</v>
      </c>
    </row>
    <row r="178" spans="1:22" x14ac:dyDescent="0.2">
      <c r="A178">
        <v>149</v>
      </c>
      <c r="B178" t="s">
        <v>316</v>
      </c>
      <c r="C178" t="s">
        <v>310</v>
      </c>
      <c r="D178" t="s">
        <v>1591</v>
      </c>
      <c r="E178" t="s">
        <v>1575</v>
      </c>
      <c r="F178">
        <v>116</v>
      </c>
      <c r="G178" t="s">
        <v>13</v>
      </c>
      <c r="H178" t="s">
        <v>403</v>
      </c>
      <c r="I178" t="s">
        <v>404</v>
      </c>
      <c r="J178" t="s">
        <v>424</v>
      </c>
      <c r="K178">
        <v>0</v>
      </c>
      <c r="L178" s="1" t="s">
        <v>425</v>
      </c>
      <c r="M178" t="s">
        <v>570</v>
      </c>
      <c r="N178" s="1" t="s">
        <v>571</v>
      </c>
      <c r="O178">
        <v>0</v>
      </c>
      <c r="P178" t="s">
        <v>403</v>
      </c>
      <c r="Q178">
        <v>1</v>
      </c>
      <c r="R178" s="1" t="s">
        <v>572</v>
      </c>
      <c r="S178" s="1" t="s">
        <v>406</v>
      </c>
      <c r="T178" s="1" t="s">
        <v>406</v>
      </c>
      <c r="U178" s="1" t="s">
        <v>1593</v>
      </c>
      <c r="V178" s="1" t="s">
        <v>1577</v>
      </c>
    </row>
    <row r="179" spans="1:22" x14ac:dyDescent="0.2">
      <c r="A179">
        <v>149</v>
      </c>
      <c r="B179" t="s">
        <v>316</v>
      </c>
      <c r="C179" t="s">
        <v>310</v>
      </c>
      <c r="D179" t="s">
        <v>1591</v>
      </c>
      <c r="E179" t="s">
        <v>1575</v>
      </c>
      <c r="F179">
        <v>116</v>
      </c>
      <c r="G179" t="s">
        <v>14</v>
      </c>
      <c r="H179" t="s">
        <v>403</v>
      </c>
      <c r="I179" t="s">
        <v>404</v>
      </c>
      <c r="J179" t="s">
        <v>424</v>
      </c>
      <c r="K179">
        <v>0</v>
      </c>
      <c r="L179" s="1" t="s">
        <v>425</v>
      </c>
      <c r="M179" t="s">
        <v>570</v>
      </c>
      <c r="N179" s="1" t="s">
        <v>571</v>
      </c>
      <c r="O179">
        <v>0</v>
      </c>
      <c r="P179" t="s">
        <v>403</v>
      </c>
      <c r="Q179">
        <v>1</v>
      </c>
      <c r="R179" s="1" t="s">
        <v>572</v>
      </c>
      <c r="S179" s="1" t="s">
        <v>406</v>
      </c>
      <c r="T179" s="1" t="s">
        <v>406</v>
      </c>
      <c r="U179" s="1" t="s">
        <v>1593</v>
      </c>
      <c r="V179" s="1" t="s">
        <v>1577</v>
      </c>
    </row>
    <row r="180" spans="1:22" x14ac:dyDescent="0.2">
      <c r="A180">
        <v>149</v>
      </c>
      <c r="B180" t="s">
        <v>316</v>
      </c>
      <c r="C180" t="s">
        <v>310</v>
      </c>
      <c r="D180" t="s">
        <v>1591</v>
      </c>
      <c r="E180" t="s">
        <v>1575</v>
      </c>
      <c r="F180">
        <v>116</v>
      </c>
      <c r="G180" t="s">
        <v>15</v>
      </c>
      <c r="H180" t="s">
        <v>423</v>
      </c>
      <c r="I180" t="s">
        <v>404</v>
      </c>
      <c r="J180" t="s">
        <v>424</v>
      </c>
      <c r="K180">
        <v>1.1950000000000001</v>
      </c>
      <c r="L180" s="1" t="s">
        <v>425</v>
      </c>
      <c r="M180" t="s">
        <v>570</v>
      </c>
      <c r="N180" s="1" t="s">
        <v>571</v>
      </c>
      <c r="O180">
        <v>1.1950000000000001</v>
      </c>
      <c r="P180" t="s">
        <v>423</v>
      </c>
      <c r="Q180">
        <v>1</v>
      </c>
      <c r="R180" s="1" t="s">
        <v>572</v>
      </c>
      <c r="S180" s="1" t="s">
        <v>406</v>
      </c>
      <c r="T180" s="1" t="s">
        <v>406</v>
      </c>
      <c r="U180" s="1" t="s">
        <v>1593</v>
      </c>
      <c r="V180" s="1" t="s">
        <v>1577</v>
      </c>
    </row>
    <row r="181" spans="1:22" x14ac:dyDescent="0.2">
      <c r="A181">
        <v>149</v>
      </c>
      <c r="B181" t="s">
        <v>316</v>
      </c>
      <c r="C181" t="s">
        <v>310</v>
      </c>
      <c r="D181" t="s">
        <v>1591</v>
      </c>
      <c r="E181" t="s">
        <v>1575</v>
      </c>
      <c r="F181">
        <v>116</v>
      </c>
      <c r="G181" t="s">
        <v>16</v>
      </c>
      <c r="H181" t="s">
        <v>423</v>
      </c>
      <c r="I181" t="s">
        <v>404</v>
      </c>
      <c r="J181" t="s">
        <v>424</v>
      </c>
      <c r="K181">
        <v>1.4590000000000001</v>
      </c>
      <c r="L181" s="1" t="s">
        <v>425</v>
      </c>
      <c r="M181" t="s">
        <v>570</v>
      </c>
      <c r="N181" s="1" t="s">
        <v>571</v>
      </c>
      <c r="O181">
        <v>1.4590000000000001</v>
      </c>
      <c r="P181" t="s">
        <v>423</v>
      </c>
      <c r="Q181">
        <v>1</v>
      </c>
      <c r="R181" s="1" t="s">
        <v>572</v>
      </c>
      <c r="S181" s="1" t="s">
        <v>406</v>
      </c>
      <c r="T181" s="1" t="s">
        <v>406</v>
      </c>
      <c r="U181" s="1" t="s">
        <v>1593</v>
      </c>
      <c r="V181" s="1" t="s">
        <v>1577</v>
      </c>
    </row>
    <row r="182" spans="1:22" x14ac:dyDescent="0.2">
      <c r="A182">
        <v>149</v>
      </c>
      <c r="B182" t="s">
        <v>316</v>
      </c>
      <c r="C182" t="s">
        <v>310</v>
      </c>
      <c r="D182" t="s">
        <v>1591</v>
      </c>
      <c r="E182" t="s">
        <v>1575</v>
      </c>
      <c r="F182">
        <v>116</v>
      </c>
      <c r="G182" t="s">
        <v>17</v>
      </c>
      <c r="H182" t="s">
        <v>423</v>
      </c>
      <c r="I182" t="s">
        <v>404</v>
      </c>
      <c r="J182" t="s">
        <v>424</v>
      </c>
      <c r="K182">
        <v>23.006</v>
      </c>
      <c r="L182" s="1" t="s">
        <v>425</v>
      </c>
      <c r="M182" t="s">
        <v>570</v>
      </c>
      <c r="N182" s="1" t="s">
        <v>571</v>
      </c>
      <c r="O182">
        <v>23.006</v>
      </c>
      <c r="P182" t="s">
        <v>423</v>
      </c>
      <c r="Q182">
        <v>1</v>
      </c>
      <c r="R182" s="1" t="s">
        <v>572</v>
      </c>
      <c r="S182" s="1" t="s">
        <v>406</v>
      </c>
      <c r="T182" s="1" t="s">
        <v>406</v>
      </c>
      <c r="U182" s="1" t="s">
        <v>1593</v>
      </c>
      <c r="V182" s="1" t="s">
        <v>1577</v>
      </c>
    </row>
    <row r="183" spans="1:22" x14ac:dyDescent="0.2">
      <c r="A183">
        <v>149</v>
      </c>
      <c r="B183" t="s">
        <v>316</v>
      </c>
      <c r="C183" t="s">
        <v>310</v>
      </c>
      <c r="D183" t="s">
        <v>1591</v>
      </c>
      <c r="E183" t="s">
        <v>1575</v>
      </c>
      <c r="F183">
        <v>116</v>
      </c>
      <c r="G183" t="s">
        <v>18</v>
      </c>
      <c r="H183" t="s">
        <v>423</v>
      </c>
      <c r="I183" t="s">
        <v>404</v>
      </c>
      <c r="J183" t="s">
        <v>424</v>
      </c>
      <c r="K183">
        <v>2.4</v>
      </c>
      <c r="L183" s="1" t="s">
        <v>425</v>
      </c>
      <c r="M183" t="s">
        <v>570</v>
      </c>
      <c r="N183" s="1" t="s">
        <v>571</v>
      </c>
      <c r="O183">
        <v>2.4</v>
      </c>
      <c r="P183" t="s">
        <v>423</v>
      </c>
      <c r="Q183">
        <v>1</v>
      </c>
      <c r="R183" s="1" t="s">
        <v>572</v>
      </c>
      <c r="S183" s="1" t="s">
        <v>406</v>
      </c>
      <c r="T183" s="1" t="s">
        <v>406</v>
      </c>
      <c r="U183" s="1" t="s">
        <v>1593</v>
      </c>
      <c r="V183" s="1" t="s">
        <v>1577</v>
      </c>
    </row>
    <row r="184" spans="1:22" x14ac:dyDescent="0.2">
      <c r="A184">
        <v>149</v>
      </c>
      <c r="B184" t="s">
        <v>316</v>
      </c>
      <c r="C184" t="s">
        <v>310</v>
      </c>
      <c r="D184" t="s">
        <v>1591</v>
      </c>
      <c r="E184" t="s">
        <v>1575</v>
      </c>
      <c r="F184">
        <v>116</v>
      </c>
      <c r="G184" t="s">
        <v>19</v>
      </c>
      <c r="H184" t="s">
        <v>423</v>
      </c>
      <c r="I184" t="s">
        <v>404</v>
      </c>
      <c r="J184" t="s">
        <v>424</v>
      </c>
      <c r="K184">
        <v>860</v>
      </c>
      <c r="L184" s="1" t="s">
        <v>425</v>
      </c>
      <c r="M184" t="s">
        <v>570</v>
      </c>
      <c r="N184" s="1" t="s">
        <v>571</v>
      </c>
      <c r="O184">
        <v>860</v>
      </c>
      <c r="P184" t="s">
        <v>423</v>
      </c>
      <c r="Q184">
        <v>1</v>
      </c>
      <c r="R184" s="1" t="s">
        <v>572</v>
      </c>
      <c r="S184" s="1" t="s">
        <v>406</v>
      </c>
      <c r="T184" s="1" t="s">
        <v>406</v>
      </c>
      <c r="U184" s="1" t="s">
        <v>1593</v>
      </c>
      <c r="V184" s="1" t="s">
        <v>1577</v>
      </c>
    </row>
    <row r="185" spans="1:22" x14ac:dyDescent="0.2">
      <c r="A185">
        <v>149</v>
      </c>
      <c r="B185" t="s">
        <v>316</v>
      </c>
      <c r="C185" t="s">
        <v>310</v>
      </c>
      <c r="D185" t="s">
        <v>1591</v>
      </c>
      <c r="E185" t="s">
        <v>1575</v>
      </c>
      <c r="F185">
        <v>116</v>
      </c>
      <c r="G185" t="s">
        <v>20</v>
      </c>
      <c r="H185" t="s">
        <v>423</v>
      </c>
      <c r="I185" t="s">
        <v>404</v>
      </c>
      <c r="J185" t="s">
        <v>424</v>
      </c>
      <c r="K185">
        <v>0.23100000000000001</v>
      </c>
      <c r="L185" s="1" t="s">
        <v>425</v>
      </c>
      <c r="M185" t="s">
        <v>570</v>
      </c>
      <c r="N185" s="1" t="s">
        <v>571</v>
      </c>
      <c r="O185">
        <v>0.23100000000000001</v>
      </c>
      <c r="P185" t="s">
        <v>423</v>
      </c>
      <c r="Q185">
        <v>1</v>
      </c>
      <c r="R185" s="1" t="s">
        <v>572</v>
      </c>
      <c r="S185" s="1" t="s">
        <v>406</v>
      </c>
      <c r="T185" s="1" t="s">
        <v>406</v>
      </c>
      <c r="U185" s="1" t="s">
        <v>1593</v>
      </c>
      <c r="V185" s="1" t="s">
        <v>1577</v>
      </c>
    </row>
    <row r="186" spans="1:22" x14ac:dyDescent="0.2">
      <c r="A186">
        <v>149</v>
      </c>
      <c r="B186" t="s">
        <v>316</v>
      </c>
      <c r="C186" t="s">
        <v>310</v>
      </c>
      <c r="D186" t="s">
        <v>1591</v>
      </c>
      <c r="E186" t="s">
        <v>1575</v>
      </c>
      <c r="F186">
        <v>116</v>
      </c>
      <c r="G186" t="s">
        <v>21</v>
      </c>
      <c r="H186" t="s">
        <v>423</v>
      </c>
      <c r="I186" t="s">
        <v>404</v>
      </c>
      <c r="J186" t="s">
        <v>424</v>
      </c>
      <c r="K186">
        <v>53.01</v>
      </c>
      <c r="L186" s="1" t="s">
        <v>425</v>
      </c>
      <c r="M186" t="s">
        <v>570</v>
      </c>
      <c r="N186" s="1" t="s">
        <v>571</v>
      </c>
      <c r="O186">
        <v>53.01</v>
      </c>
      <c r="P186" t="s">
        <v>423</v>
      </c>
      <c r="Q186">
        <v>1</v>
      </c>
      <c r="R186" s="1" t="s">
        <v>572</v>
      </c>
      <c r="S186" s="1" t="s">
        <v>406</v>
      </c>
      <c r="T186" s="1" t="s">
        <v>406</v>
      </c>
      <c r="U186" s="1" t="s">
        <v>1593</v>
      </c>
      <c r="V186" s="1" t="s">
        <v>1577</v>
      </c>
    </row>
    <row r="187" spans="1:22" x14ac:dyDescent="0.2">
      <c r="A187">
        <v>149</v>
      </c>
      <c r="B187" t="s">
        <v>316</v>
      </c>
      <c r="C187" t="s">
        <v>310</v>
      </c>
      <c r="D187" t="s">
        <v>1591</v>
      </c>
      <c r="E187" t="s">
        <v>1575</v>
      </c>
      <c r="F187">
        <v>116</v>
      </c>
      <c r="G187" t="s">
        <v>22</v>
      </c>
      <c r="H187" t="s">
        <v>423</v>
      </c>
      <c r="I187" t="s">
        <v>404</v>
      </c>
      <c r="J187" t="s">
        <v>424</v>
      </c>
      <c r="K187">
        <v>273</v>
      </c>
      <c r="L187" s="1" t="s">
        <v>425</v>
      </c>
      <c r="M187" t="s">
        <v>570</v>
      </c>
      <c r="N187" s="1" t="s">
        <v>571</v>
      </c>
      <c r="O187">
        <v>273</v>
      </c>
      <c r="P187" t="s">
        <v>423</v>
      </c>
      <c r="Q187">
        <v>1</v>
      </c>
      <c r="R187" s="1" t="s">
        <v>572</v>
      </c>
      <c r="S187" s="1" t="s">
        <v>406</v>
      </c>
      <c r="T187" s="1" t="s">
        <v>406</v>
      </c>
      <c r="U187" s="1" t="s">
        <v>1593</v>
      </c>
      <c r="V187" s="1" t="s">
        <v>1577</v>
      </c>
    </row>
    <row r="188" spans="1:22" x14ac:dyDescent="0.2">
      <c r="A188">
        <v>149</v>
      </c>
      <c r="B188" t="s">
        <v>316</v>
      </c>
      <c r="C188" t="s">
        <v>310</v>
      </c>
      <c r="D188" t="s">
        <v>1591</v>
      </c>
      <c r="E188" t="s">
        <v>1575</v>
      </c>
      <c r="F188">
        <v>116</v>
      </c>
      <c r="G188" t="s">
        <v>23</v>
      </c>
      <c r="H188" t="s">
        <v>423</v>
      </c>
      <c r="I188" t="s">
        <v>404</v>
      </c>
      <c r="J188" t="s">
        <v>424</v>
      </c>
      <c r="K188">
        <v>281</v>
      </c>
      <c r="L188" s="1" t="s">
        <v>425</v>
      </c>
      <c r="M188" t="s">
        <v>570</v>
      </c>
      <c r="N188" s="1" t="s">
        <v>571</v>
      </c>
      <c r="O188">
        <v>281</v>
      </c>
      <c r="P188" t="s">
        <v>423</v>
      </c>
      <c r="Q188">
        <v>1</v>
      </c>
      <c r="R188" s="1" t="s">
        <v>572</v>
      </c>
      <c r="S188" s="1" t="s">
        <v>406</v>
      </c>
      <c r="T188" s="1" t="s">
        <v>406</v>
      </c>
      <c r="U188" s="1" t="s">
        <v>1593</v>
      </c>
      <c r="V188" s="1" t="s">
        <v>1577</v>
      </c>
    </row>
    <row r="189" spans="1:22" x14ac:dyDescent="0.2">
      <c r="A189">
        <v>149</v>
      </c>
      <c r="B189" t="s">
        <v>316</v>
      </c>
      <c r="C189" t="s">
        <v>310</v>
      </c>
      <c r="D189" t="s">
        <v>1591</v>
      </c>
      <c r="E189" t="s">
        <v>1575</v>
      </c>
      <c r="F189">
        <v>116</v>
      </c>
      <c r="G189" t="s">
        <v>24</v>
      </c>
      <c r="H189" t="s">
        <v>423</v>
      </c>
      <c r="I189" t="s">
        <v>404</v>
      </c>
      <c r="J189" t="s">
        <v>424</v>
      </c>
      <c r="K189">
        <v>32</v>
      </c>
      <c r="L189" s="1" t="s">
        <v>425</v>
      </c>
      <c r="M189" t="s">
        <v>570</v>
      </c>
      <c r="N189" s="1" t="s">
        <v>571</v>
      </c>
      <c r="O189">
        <v>32</v>
      </c>
      <c r="P189" t="s">
        <v>423</v>
      </c>
      <c r="Q189">
        <v>1</v>
      </c>
      <c r="R189" s="1" t="s">
        <v>572</v>
      </c>
      <c r="S189" s="1" t="s">
        <v>406</v>
      </c>
      <c r="T189" s="1" t="s">
        <v>406</v>
      </c>
      <c r="U189" s="1" t="s">
        <v>1593</v>
      </c>
      <c r="V189" s="1" t="s">
        <v>1577</v>
      </c>
    </row>
    <row r="190" spans="1:22" x14ac:dyDescent="0.2">
      <c r="A190">
        <v>149</v>
      </c>
      <c r="B190" t="s">
        <v>316</v>
      </c>
      <c r="C190" t="s">
        <v>310</v>
      </c>
      <c r="D190" t="s">
        <v>1591</v>
      </c>
      <c r="E190" t="s">
        <v>1575</v>
      </c>
      <c r="F190">
        <v>116</v>
      </c>
      <c r="G190" t="s">
        <v>25</v>
      </c>
      <c r="H190" t="s">
        <v>423</v>
      </c>
      <c r="I190" t="s">
        <v>404</v>
      </c>
      <c r="J190" t="s">
        <v>424</v>
      </c>
      <c r="K190">
        <v>10.92</v>
      </c>
      <c r="L190" s="1" t="s">
        <v>425</v>
      </c>
      <c r="M190" t="s">
        <v>570</v>
      </c>
      <c r="N190" s="1" t="s">
        <v>571</v>
      </c>
      <c r="O190">
        <v>10.92</v>
      </c>
      <c r="P190" t="s">
        <v>423</v>
      </c>
      <c r="Q190">
        <v>1</v>
      </c>
      <c r="R190" s="1" t="s">
        <v>572</v>
      </c>
      <c r="S190" s="1" t="s">
        <v>406</v>
      </c>
      <c r="T190" s="1" t="s">
        <v>406</v>
      </c>
      <c r="U190" s="1" t="s">
        <v>1593</v>
      </c>
      <c r="V190" s="1" t="s">
        <v>1577</v>
      </c>
    </row>
    <row r="191" spans="1:22" x14ac:dyDescent="0.2">
      <c r="A191" s="1">
        <v>153</v>
      </c>
      <c r="B191" s="1" t="s">
        <v>323</v>
      </c>
      <c r="C191" s="1" t="s">
        <v>319</v>
      </c>
      <c r="D191" s="1" t="s">
        <v>31</v>
      </c>
      <c r="E191" s="1" t="s">
        <v>573</v>
      </c>
      <c r="F191" s="1">
        <v>3662</v>
      </c>
      <c r="G191" s="1" t="s">
        <v>20</v>
      </c>
      <c r="H191" s="1" t="s">
        <v>423</v>
      </c>
      <c r="I191" s="1" t="s">
        <v>404</v>
      </c>
      <c r="J191" s="1" t="s">
        <v>424</v>
      </c>
      <c r="K191" s="1">
        <v>9.7000000000000003E-2</v>
      </c>
      <c r="L191" s="1" t="s">
        <v>425</v>
      </c>
      <c r="M191" s="1" t="s">
        <v>574</v>
      </c>
      <c r="N191" s="1" t="s">
        <v>575</v>
      </c>
      <c r="O191" s="1">
        <v>9.7000000000000003E-2</v>
      </c>
      <c r="P191" s="1" t="s">
        <v>423</v>
      </c>
      <c r="Q191" s="1">
        <v>1</v>
      </c>
      <c r="R191" s="1" t="s">
        <v>576</v>
      </c>
      <c r="S191" s="1" t="s">
        <v>406</v>
      </c>
      <c r="T191" s="1" t="s">
        <v>406</v>
      </c>
      <c r="U191" s="1" t="s">
        <v>429</v>
      </c>
      <c r="V191" s="1" t="s">
        <v>577</v>
      </c>
    </row>
    <row r="192" spans="1:22" x14ac:dyDescent="0.2">
      <c r="A192" s="1">
        <v>153</v>
      </c>
      <c r="B192" s="1" t="s">
        <v>323</v>
      </c>
      <c r="C192" s="1" t="s">
        <v>319</v>
      </c>
      <c r="D192" s="1" t="s">
        <v>31</v>
      </c>
      <c r="E192" s="1" t="s">
        <v>573</v>
      </c>
      <c r="F192" s="1">
        <v>3662</v>
      </c>
      <c r="G192" s="1" t="s">
        <v>11</v>
      </c>
      <c r="H192" s="1" t="s">
        <v>415</v>
      </c>
      <c r="I192" s="1" t="s">
        <v>404</v>
      </c>
      <c r="J192" s="1" t="s">
        <v>424</v>
      </c>
      <c r="K192" s="1">
        <v>3.1</v>
      </c>
      <c r="L192" s="1" t="s">
        <v>425</v>
      </c>
      <c r="M192" s="1" t="s">
        <v>574</v>
      </c>
      <c r="N192" s="1" t="s">
        <v>575</v>
      </c>
      <c r="O192" s="1">
        <v>3.1</v>
      </c>
      <c r="P192" s="1" t="s">
        <v>415</v>
      </c>
      <c r="Q192" s="1">
        <v>1</v>
      </c>
      <c r="R192" s="1" t="s">
        <v>576</v>
      </c>
      <c r="S192" s="1" t="s">
        <v>406</v>
      </c>
      <c r="T192" s="1" t="s">
        <v>406</v>
      </c>
      <c r="U192" s="1" t="s">
        <v>429</v>
      </c>
      <c r="V192" s="1" t="s">
        <v>578</v>
      </c>
    </row>
    <row r="193" spans="1:22" ht="16" customHeight="1" x14ac:dyDescent="0.2">
      <c r="A193">
        <v>153</v>
      </c>
      <c r="B193" t="s">
        <v>323</v>
      </c>
      <c r="C193" t="s">
        <v>319</v>
      </c>
      <c r="D193" t="s">
        <v>31</v>
      </c>
      <c r="E193" t="s">
        <v>573</v>
      </c>
      <c r="F193">
        <v>3662</v>
      </c>
      <c r="G193" t="s">
        <v>9</v>
      </c>
      <c r="H193" t="s">
        <v>415</v>
      </c>
      <c r="I193" t="s">
        <v>404</v>
      </c>
      <c r="J193" t="s">
        <v>405</v>
      </c>
      <c r="K193">
        <v>0</v>
      </c>
      <c r="L193" s="11" t="s">
        <v>406</v>
      </c>
      <c r="M193" t="s">
        <v>416</v>
      </c>
      <c r="N193" s="11" t="s">
        <v>417</v>
      </c>
      <c r="O193" t="s">
        <v>418</v>
      </c>
      <c r="P193" t="s">
        <v>415</v>
      </c>
      <c r="Q193">
        <v>1</v>
      </c>
      <c r="R193" s="11" t="s">
        <v>406</v>
      </c>
      <c r="S193" s="11" t="s">
        <v>406</v>
      </c>
      <c r="T193" s="11" t="s">
        <v>406</v>
      </c>
      <c r="U193" s="11" t="s">
        <v>419</v>
      </c>
      <c r="V193" s="11" t="s">
        <v>420</v>
      </c>
    </row>
    <row r="194" spans="1:22" x14ac:dyDescent="0.2">
      <c r="A194">
        <v>173</v>
      </c>
      <c r="B194" t="s">
        <v>363</v>
      </c>
      <c r="C194" t="s">
        <v>319</v>
      </c>
      <c r="D194" t="s">
        <v>477</v>
      </c>
      <c r="E194" t="s">
        <v>579</v>
      </c>
      <c r="F194">
        <v>226</v>
      </c>
      <c r="G194" t="s">
        <v>9</v>
      </c>
      <c r="H194" t="s">
        <v>415</v>
      </c>
      <c r="I194" t="s">
        <v>404</v>
      </c>
      <c r="J194" t="s">
        <v>580</v>
      </c>
      <c r="K194">
        <v>0.19661729999999999</v>
      </c>
      <c r="L194" t="s">
        <v>581</v>
      </c>
      <c r="M194" t="s">
        <v>582</v>
      </c>
      <c r="N194" t="s">
        <v>583</v>
      </c>
      <c r="O194">
        <v>0.19661729999999999</v>
      </c>
      <c r="P194" t="s">
        <v>415</v>
      </c>
      <c r="Q194" t="s">
        <v>584</v>
      </c>
      <c r="R194" t="s">
        <v>585</v>
      </c>
      <c r="S194" s="1" t="s">
        <v>406</v>
      </c>
      <c r="T194" s="1" t="s">
        <v>406</v>
      </c>
      <c r="U194" t="s">
        <v>586</v>
      </c>
      <c r="V194" t="s">
        <v>587</v>
      </c>
    </row>
    <row r="195" spans="1:22" x14ac:dyDescent="0.2">
      <c r="A195">
        <v>175</v>
      </c>
      <c r="B195" t="s">
        <v>367</v>
      </c>
      <c r="C195" t="s">
        <v>319</v>
      </c>
      <c r="D195" t="s">
        <v>477</v>
      </c>
      <c r="E195" t="s">
        <v>406</v>
      </c>
      <c r="F195">
        <v>809</v>
      </c>
      <c r="G195" t="s">
        <v>6</v>
      </c>
      <c r="H195" t="s">
        <v>493</v>
      </c>
      <c r="I195" t="s">
        <v>404</v>
      </c>
      <c r="J195" t="s">
        <v>424</v>
      </c>
      <c r="K195">
        <v>0</v>
      </c>
      <c r="L195" s="1" t="s">
        <v>425</v>
      </c>
      <c r="M195" t="s">
        <v>588</v>
      </c>
      <c r="N195" s="1" t="s">
        <v>589</v>
      </c>
      <c r="O195">
        <v>0</v>
      </c>
      <c r="P195" t="s">
        <v>493</v>
      </c>
      <c r="Q195">
        <v>1</v>
      </c>
      <c r="R195" s="1" t="s">
        <v>590</v>
      </c>
      <c r="S195" s="1" t="s">
        <v>406</v>
      </c>
      <c r="T195" s="1" t="s">
        <v>406</v>
      </c>
      <c r="U195" s="1" t="s">
        <v>507</v>
      </c>
      <c r="V195" s="1" t="s">
        <v>591</v>
      </c>
    </row>
    <row r="196" spans="1:22" x14ac:dyDescent="0.2">
      <c r="A196">
        <v>175</v>
      </c>
      <c r="B196" t="s">
        <v>367</v>
      </c>
      <c r="C196" t="s">
        <v>319</v>
      </c>
      <c r="D196" t="s">
        <v>477</v>
      </c>
      <c r="E196" t="s">
        <v>406</v>
      </c>
      <c r="F196">
        <v>809</v>
      </c>
      <c r="G196" t="s">
        <v>7</v>
      </c>
      <c r="H196" t="s">
        <v>415</v>
      </c>
      <c r="I196" t="s">
        <v>404</v>
      </c>
      <c r="J196" t="s">
        <v>424</v>
      </c>
      <c r="K196">
        <v>0</v>
      </c>
      <c r="L196" s="1" t="s">
        <v>425</v>
      </c>
      <c r="M196" t="s">
        <v>588</v>
      </c>
      <c r="N196" s="1" t="s">
        <v>589</v>
      </c>
      <c r="O196">
        <v>0</v>
      </c>
      <c r="P196" t="s">
        <v>415</v>
      </c>
      <c r="Q196">
        <v>1</v>
      </c>
      <c r="R196" s="1" t="s">
        <v>590</v>
      </c>
      <c r="S196" s="1" t="s">
        <v>406</v>
      </c>
      <c r="T196" s="1" t="s">
        <v>406</v>
      </c>
      <c r="U196" s="1" t="s">
        <v>507</v>
      </c>
      <c r="V196" s="1" t="s">
        <v>591</v>
      </c>
    </row>
    <row r="197" spans="1:22" x14ac:dyDescent="0.2">
      <c r="A197">
        <v>175</v>
      </c>
      <c r="B197" t="s">
        <v>367</v>
      </c>
      <c r="C197" t="s">
        <v>319</v>
      </c>
      <c r="D197" t="s">
        <v>477</v>
      </c>
      <c r="E197" t="s">
        <v>406</v>
      </c>
      <c r="F197">
        <v>809</v>
      </c>
      <c r="G197" t="s">
        <v>8</v>
      </c>
      <c r="H197" t="s">
        <v>415</v>
      </c>
      <c r="I197" t="s">
        <v>404</v>
      </c>
      <c r="J197" t="s">
        <v>424</v>
      </c>
      <c r="K197">
        <v>0</v>
      </c>
      <c r="L197" s="1" t="s">
        <v>425</v>
      </c>
      <c r="M197" t="s">
        <v>588</v>
      </c>
      <c r="N197" s="1" t="s">
        <v>589</v>
      </c>
      <c r="O197">
        <v>0</v>
      </c>
      <c r="P197" t="s">
        <v>415</v>
      </c>
      <c r="Q197">
        <v>1</v>
      </c>
      <c r="R197" s="1" t="s">
        <v>590</v>
      </c>
      <c r="S197" s="1" t="s">
        <v>406</v>
      </c>
      <c r="T197" s="1" t="s">
        <v>406</v>
      </c>
      <c r="U197" s="1" t="s">
        <v>507</v>
      </c>
      <c r="V197" s="1" t="s">
        <v>591</v>
      </c>
    </row>
    <row r="198" spans="1:22" ht="16" customHeight="1" x14ac:dyDescent="0.2">
      <c r="A198">
        <v>175</v>
      </c>
      <c r="B198" t="s">
        <v>367</v>
      </c>
      <c r="C198" t="s">
        <v>319</v>
      </c>
      <c r="D198" t="s">
        <v>477</v>
      </c>
      <c r="E198" t="s">
        <v>406</v>
      </c>
      <c r="F198">
        <v>809</v>
      </c>
      <c r="G198" t="s">
        <v>9</v>
      </c>
      <c r="H198" t="s">
        <v>415</v>
      </c>
      <c r="I198" t="s">
        <v>404</v>
      </c>
      <c r="J198" t="s">
        <v>405</v>
      </c>
      <c r="K198">
        <v>0</v>
      </c>
      <c r="L198" s="11" t="s">
        <v>406</v>
      </c>
      <c r="M198" t="s">
        <v>416</v>
      </c>
      <c r="N198" s="11" t="s">
        <v>417</v>
      </c>
      <c r="O198" t="s">
        <v>418</v>
      </c>
      <c r="P198" t="s">
        <v>415</v>
      </c>
      <c r="Q198">
        <v>1</v>
      </c>
      <c r="R198" s="11" t="s">
        <v>406</v>
      </c>
      <c r="S198" s="11" t="s">
        <v>406</v>
      </c>
      <c r="T198" s="11" t="s">
        <v>406</v>
      </c>
      <c r="U198" s="11" t="s">
        <v>419</v>
      </c>
      <c r="V198" s="11" t="s">
        <v>420</v>
      </c>
    </row>
    <row r="199" spans="1:22" x14ac:dyDescent="0.2">
      <c r="A199">
        <v>175</v>
      </c>
      <c r="B199" t="s">
        <v>367</v>
      </c>
      <c r="C199" t="s">
        <v>319</v>
      </c>
      <c r="D199" t="s">
        <v>477</v>
      </c>
      <c r="E199" t="s">
        <v>406</v>
      </c>
      <c r="F199">
        <v>809</v>
      </c>
      <c r="G199" t="s">
        <v>10</v>
      </c>
      <c r="H199" t="s">
        <v>415</v>
      </c>
      <c r="I199" t="s">
        <v>404</v>
      </c>
      <c r="J199" t="s">
        <v>424</v>
      </c>
      <c r="K199">
        <v>0</v>
      </c>
      <c r="L199" s="1" t="s">
        <v>425</v>
      </c>
      <c r="M199" t="s">
        <v>588</v>
      </c>
      <c r="N199" s="1" t="s">
        <v>589</v>
      </c>
      <c r="O199">
        <v>0</v>
      </c>
      <c r="P199" t="s">
        <v>415</v>
      </c>
      <c r="Q199">
        <v>1</v>
      </c>
      <c r="R199" s="1" t="s">
        <v>590</v>
      </c>
      <c r="S199" s="1" t="s">
        <v>406</v>
      </c>
      <c r="T199" s="1" t="s">
        <v>406</v>
      </c>
      <c r="U199" s="1" t="s">
        <v>507</v>
      </c>
      <c r="V199" s="1" t="s">
        <v>591</v>
      </c>
    </row>
    <row r="200" spans="1:22" x14ac:dyDescent="0.2">
      <c r="A200">
        <v>175</v>
      </c>
      <c r="B200" t="s">
        <v>367</v>
      </c>
      <c r="C200" t="s">
        <v>319</v>
      </c>
      <c r="D200" t="s">
        <v>477</v>
      </c>
      <c r="E200" t="s">
        <v>406</v>
      </c>
      <c r="F200">
        <v>809</v>
      </c>
      <c r="G200" t="s">
        <v>11</v>
      </c>
      <c r="H200" t="s">
        <v>415</v>
      </c>
      <c r="I200" t="s">
        <v>404</v>
      </c>
      <c r="J200" t="s">
        <v>424</v>
      </c>
      <c r="K200">
        <v>0</v>
      </c>
      <c r="L200" s="1" t="s">
        <v>425</v>
      </c>
      <c r="M200" t="s">
        <v>588</v>
      </c>
      <c r="N200" s="1" t="s">
        <v>589</v>
      </c>
      <c r="O200">
        <v>0</v>
      </c>
      <c r="P200" t="s">
        <v>415</v>
      </c>
      <c r="Q200">
        <v>1</v>
      </c>
      <c r="R200" s="1" t="s">
        <v>590</v>
      </c>
      <c r="S200" s="1" t="s">
        <v>406</v>
      </c>
      <c r="T200" s="1" t="s">
        <v>406</v>
      </c>
      <c r="U200" s="1" t="s">
        <v>507</v>
      </c>
      <c r="V200" s="1" t="s">
        <v>591</v>
      </c>
    </row>
    <row r="201" spans="1:22" x14ac:dyDescent="0.2">
      <c r="A201">
        <v>175</v>
      </c>
      <c r="B201" t="s">
        <v>367</v>
      </c>
      <c r="C201" t="s">
        <v>319</v>
      </c>
      <c r="D201" t="s">
        <v>477</v>
      </c>
      <c r="E201" t="s">
        <v>406</v>
      </c>
      <c r="F201">
        <v>809</v>
      </c>
      <c r="G201" t="s">
        <v>12</v>
      </c>
      <c r="H201" t="s">
        <v>415</v>
      </c>
      <c r="I201" t="s">
        <v>404</v>
      </c>
      <c r="J201" t="s">
        <v>424</v>
      </c>
      <c r="K201">
        <v>7.0000000000000007E-2</v>
      </c>
      <c r="L201" s="1" t="s">
        <v>425</v>
      </c>
      <c r="M201" t="s">
        <v>588</v>
      </c>
      <c r="N201" s="1" t="s">
        <v>589</v>
      </c>
      <c r="O201">
        <v>7.0000000000000007E-2</v>
      </c>
      <c r="P201" t="s">
        <v>415</v>
      </c>
      <c r="Q201">
        <v>1</v>
      </c>
      <c r="R201" s="1" t="s">
        <v>590</v>
      </c>
      <c r="S201" s="1" t="s">
        <v>406</v>
      </c>
      <c r="T201" s="1" t="s">
        <v>406</v>
      </c>
      <c r="U201" s="1" t="s">
        <v>507</v>
      </c>
      <c r="V201" s="1" t="s">
        <v>591</v>
      </c>
    </row>
    <row r="202" spans="1:22" x14ac:dyDescent="0.2">
      <c r="A202">
        <v>175</v>
      </c>
      <c r="B202" t="s">
        <v>367</v>
      </c>
      <c r="C202" t="s">
        <v>319</v>
      </c>
      <c r="D202" t="s">
        <v>477</v>
      </c>
      <c r="E202" t="s">
        <v>406</v>
      </c>
      <c r="F202">
        <v>809</v>
      </c>
      <c r="G202" t="s">
        <v>13</v>
      </c>
      <c r="H202" t="s">
        <v>403</v>
      </c>
      <c r="I202" t="s">
        <v>404</v>
      </c>
      <c r="J202" t="s">
        <v>424</v>
      </c>
      <c r="K202">
        <v>0</v>
      </c>
      <c r="L202" s="1" t="s">
        <v>425</v>
      </c>
      <c r="M202" t="s">
        <v>588</v>
      </c>
      <c r="N202" s="1" t="s">
        <v>589</v>
      </c>
      <c r="O202">
        <v>0</v>
      </c>
      <c r="P202" t="s">
        <v>403</v>
      </c>
      <c r="Q202">
        <v>1</v>
      </c>
      <c r="R202" s="1" t="s">
        <v>590</v>
      </c>
      <c r="S202" s="1" t="s">
        <v>406</v>
      </c>
      <c r="T202" s="1" t="s">
        <v>406</v>
      </c>
      <c r="U202" s="1" t="s">
        <v>507</v>
      </c>
      <c r="V202" s="1" t="s">
        <v>591</v>
      </c>
    </row>
    <row r="203" spans="1:22" x14ac:dyDescent="0.2">
      <c r="A203">
        <v>175</v>
      </c>
      <c r="B203" t="s">
        <v>367</v>
      </c>
      <c r="C203" t="s">
        <v>319</v>
      </c>
      <c r="D203" t="s">
        <v>477</v>
      </c>
      <c r="E203" t="s">
        <v>406</v>
      </c>
      <c r="F203">
        <v>809</v>
      </c>
      <c r="G203" t="s">
        <v>14</v>
      </c>
      <c r="H203" t="s">
        <v>403</v>
      </c>
      <c r="I203" t="s">
        <v>404</v>
      </c>
      <c r="J203" t="s">
        <v>424</v>
      </c>
      <c r="K203">
        <v>0</v>
      </c>
      <c r="L203" s="1" t="s">
        <v>425</v>
      </c>
      <c r="M203" t="s">
        <v>588</v>
      </c>
      <c r="N203" s="1" t="s">
        <v>589</v>
      </c>
      <c r="O203">
        <v>0</v>
      </c>
      <c r="P203" t="s">
        <v>403</v>
      </c>
      <c r="Q203">
        <v>1</v>
      </c>
      <c r="R203" s="1" t="s">
        <v>590</v>
      </c>
      <c r="S203" s="1" t="s">
        <v>406</v>
      </c>
      <c r="T203" s="1" t="s">
        <v>406</v>
      </c>
      <c r="U203" s="1" t="s">
        <v>507</v>
      </c>
      <c r="V203" s="1" t="s">
        <v>591</v>
      </c>
    </row>
    <row r="204" spans="1:22" x14ac:dyDescent="0.2">
      <c r="A204">
        <v>175</v>
      </c>
      <c r="B204" t="s">
        <v>367</v>
      </c>
      <c r="C204" t="s">
        <v>319</v>
      </c>
      <c r="D204" t="s">
        <v>477</v>
      </c>
      <c r="E204" t="s">
        <v>406</v>
      </c>
      <c r="F204">
        <v>809</v>
      </c>
      <c r="G204" t="s">
        <v>15</v>
      </c>
      <c r="H204" t="s">
        <v>423</v>
      </c>
      <c r="I204" t="s">
        <v>404</v>
      </c>
      <c r="J204" t="s">
        <v>424</v>
      </c>
      <c r="K204">
        <v>0</v>
      </c>
      <c r="L204" s="1" t="s">
        <v>425</v>
      </c>
      <c r="M204" t="s">
        <v>588</v>
      </c>
      <c r="N204" s="1" t="s">
        <v>589</v>
      </c>
      <c r="O204">
        <v>0</v>
      </c>
      <c r="P204" t="s">
        <v>423</v>
      </c>
      <c r="Q204">
        <v>1</v>
      </c>
      <c r="R204" s="1" t="s">
        <v>590</v>
      </c>
      <c r="S204" s="1" t="s">
        <v>406</v>
      </c>
      <c r="T204" s="1" t="s">
        <v>406</v>
      </c>
      <c r="U204" s="1" t="s">
        <v>507</v>
      </c>
      <c r="V204" s="1" t="s">
        <v>591</v>
      </c>
    </row>
    <row r="205" spans="1:22" x14ac:dyDescent="0.2">
      <c r="A205">
        <v>175</v>
      </c>
      <c r="B205" t="s">
        <v>367</v>
      </c>
      <c r="C205" t="s">
        <v>319</v>
      </c>
      <c r="D205" t="s">
        <v>477</v>
      </c>
      <c r="E205" t="s">
        <v>406</v>
      </c>
      <c r="F205">
        <v>809</v>
      </c>
      <c r="G205" t="s">
        <v>16</v>
      </c>
      <c r="H205" t="s">
        <v>423</v>
      </c>
      <c r="I205" t="s">
        <v>404</v>
      </c>
      <c r="J205" t="s">
        <v>424</v>
      </c>
      <c r="K205">
        <v>0</v>
      </c>
      <c r="L205" s="1" t="s">
        <v>425</v>
      </c>
      <c r="M205" t="s">
        <v>588</v>
      </c>
      <c r="N205" s="1" t="s">
        <v>589</v>
      </c>
      <c r="O205">
        <v>0</v>
      </c>
      <c r="P205" t="s">
        <v>423</v>
      </c>
      <c r="Q205">
        <v>1</v>
      </c>
      <c r="R205" s="1" t="s">
        <v>590</v>
      </c>
      <c r="S205" s="1" t="s">
        <v>406</v>
      </c>
      <c r="T205" s="1" t="s">
        <v>406</v>
      </c>
      <c r="U205" s="1" t="s">
        <v>507</v>
      </c>
      <c r="V205" s="1" t="s">
        <v>591</v>
      </c>
    </row>
    <row r="206" spans="1:22" x14ac:dyDescent="0.2">
      <c r="A206">
        <v>175</v>
      </c>
      <c r="B206" t="s">
        <v>367</v>
      </c>
      <c r="C206" t="s">
        <v>319</v>
      </c>
      <c r="D206" t="s">
        <v>477</v>
      </c>
      <c r="E206" t="s">
        <v>406</v>
      </c>
      <c r="F206">
        <v>809</v>
      </c>
      <c r="G206" t="s">
        <v>17</v>
      </c>
      <c r="H206" t="s">
        <v>423</v>
      </c>
      <c r="I206" t="s">
        <v>404</v>
      </c>
      <c r="J206" t="s">
        <v>424</v>
      </c>
      <c r="K206">
        <v>0</v>
      </c>
      <c r="L206" s="1" t="s">
        <v>425</v>
      </c>
      <c r="M206" t="s">
        <v>588</v>
      </c>
      <c r="N206" s="1" t="s">
        <v>589</v>
      </c>
      <c r="O206">
        <v>0</v>
      </c>
      <c r="P206" t="s">
        <v>423</v>
      </c>
      <c r="Q206">
        <v>1</v>
      </c>
      <c r="R206" s="1" t="s">
        <v>590</v>
      </c>
      <c r="S206" s="1" t="s">
        <v>406</v>
      </c>
      <c r="T206" s="1" t="s">
        <v>406</v>
      </c>
      <c r="U206" s="1" t="s">
        <v>507</v>
      </c>
      <c r="V206" s="1" t="s">
        <v>591</v>
      </c>
    </row>
    <row r="207" spans="1:22" x14ac:dyDescent="0.2">
      <c r="A207">
        <v>175</v>
      </c>
      <c r="B207" t="s">
        <v>367</v>
      </c>
      <c r="C207" t="s">
        <v>319</v>
      </c>
      <c r="D207" t="s">
        <v>477</v>
      </c>
      <c r="E207" t="s">
        <v>406</v>
      </c>
      <c r="F207">
        <v>809</v>
      </c>
      <c r="G207" t="s">
        <v>18</v>
      </c>
      <c r="H207" t="s">
        <v>423</v>
      </c>
      <c r="I207" t="s">
        <v>404</v>
      </c>
      <c r="J207" t="s">
        <v>424</v>
      </c>
      <c r="K207">
        <v>0</v>
      </c>
      <c r="L207" s="1" t="s">
        <v>425</v>
      </c>
      <c r="M207" t="s">
        <v>588</v>
      </c>
      <c r="N207" s="1" t="s">
        <v>589</v>
      </c>
      <c r="O207">
        <v>0</v>
      </c>
      <c r="P207" t="s">
        <v>423</v>
      </c>
      <c r="Q207">
        <v>1</v>
      </c>
      <c r="R207" s="1" t="s">
        <v>590</v>
      </c>
      <c r="S207" s="1" t="s">
        <v>406</v>
      </c>
      <c r="T207" s="1" t="s">
        <v>406</v>
      </c>
      <c r="U207" s="1" t="s">
        <v>507</v>
      </c>
      <c r="V207" s="1" t="s">
        <v>591</v>
      </c>
    </row>
    <row r="208" spans="1:22" x14ac:dyDescent="0.2">
      <c r="A208">
        <v>175</v>
      </c>
      <c r="B208" t="s">
        <v>367</v>
      </c>
      <c r="C208" t="s">
        <v>319</v>
      </c>
      <c r="D208" t="s">
        <v>477</v>
      </c>
      <c r="E208" t="s">
        <v>406</v>
      </c>
      <c r="F208">
        <v>809</v>
      </c>
      <c r="G208" t="s">
        <v>19</v>
      </c>
      <c r="H208" t="s">
        <v>423</v>
      </c>
      <c r="I208" t="s">
        <v>404</v>
      </c>
      <c r="J208" t="s">
        <v>424</v>
      </c>
      <c r="K208">
        <v>10</v>
      </c>
      <c r="L208" s="1" t="s">
        <v>425</v>
      </c>
      <c r="M208" t="s">
        <v>588</v>
      </c>
      <c r="N208" s="1" t="s">
        <v>589</v>
      </c>
      <c r="O208">
        <v>10</v>
      </c>
      <c r="P208" t="s">
        <v>423</v>
      </c>
      <c r="Q208">
        <v>1</v>
      </c>
      <c r="R208" s="1" t="s">
        <v>590</v>
      </c>
      <c r="S208" s="1" t="s">
        <v>406</v>
      </c>
      <c r="T208" s="1" t="s">
        <v>406</v>
      </c>
      <c r="U208" s="1" t="s">
        <v>507</v>
      </c>
      <c r="V208" s="1" t="s">
        <v>591</v>
      </c>
    </row>
    <row r="209" spans="1:22" x14ac:dyDescent="0.2">
      <c r="A209">
        <v>175</v>
      </c>
      <c r="B209" t="s">
        <v>367</v>
      </c>
      <c r="C209" t="s">
        <v>319</v>
      </c>
      <c r="D209" t="s">
        <v>477</v>
      </c>
      <c r="E209" t="s">
        <v>406</v>
      </c>
      <c r="F209">
        <v>809</v>
      </c>
      <c r="G209" t="s">
        <v>20</v>
      </c>
      <c r="H209" t="s">
        <v>423</v>
      </c>
      <c r="I209" t="s">
        <v>404</v>
      </c>
      <c r="J209" t="s">
        <v>424</v>
      </c>
      <c r="K209">
        <v>7.0000000000000001E-3</v>
      </c>
      <c r="L209" s="1" t="s">
        <v>425</v>
      </c>
      <c r="M209" t="s">
        <v>588</v>
      </c>
      <c r="N209" s="1" t="s">
        <v>589</v>
      </c>
      <c r="O209">
        <v>7.0000000000000001E-3</v>
      </c>
      <c r="P209" t="s">
        <v>423</v>
      </c>
      <c r="Q209">
        <v>1</v>
      </c>
      <c r="R209" s="1" t="s">
        <v>590</v>
      </c>
      <c r="S209" s="1" t="s">
        <v>406</v>
      </c>
      <c r="T209" s="1" t="s">
        <v>406</v>
      </c>
      <c r="U209" s="1" t="s">
        <v>507</v>
      </c>
      <c r="V209" s="1" t="s">
        <v>591</v>
      </c>
    </row>
    <row r="210" spans="1:22" x14ac:dyDescent="0.2">
      <c r="A210">
        <v>175</v>
      </c>
      <c r="B210" t="s">
        <v>367</v>
      </c>
      <c r="C210" t="s">
        <v>319</v>
      </c>
      <c r="D210" t="s">
        <v>477</v>
      </c>
      <c r="E210" t="s">
        <v>406</v>
      </c>
      <c r="F210">
        <v>809</v>
      </c>
      <c r="G210" t="s">
        <v>21</v>
      </c>
      <c r="H210" t="s">
        <v>423</v>
      </c>
      <c r="I210" t="s">
        <v>404</v>
      </c>
      <c r="J210" t="s">
        <v>424</v>
      </c>
      <c r="K210">
        <v>0</v>
      </c>
      <c r="L210" s="1" t="s">
        <v>425</v>
      </c>
      <c r="M210" t="s">
        <v>588</v>
      </c>
      <c r="N210" s="1" t="s">
        <v>589</v>
      </c>
      <c r="O210">
        <v>0</v>
      </c>
      <c r="P210" t="s">
        <v>423</v>
      </c>
      <c r="Q210">
        <v>1</v>
      </c>
      <c r="R210" s="1" t="s">
        <v>590</v>
      </c>
      <c r="S210" s="1" t="s">
        <v>406</v>
      </c>
      <c r="T210" s="1" t="s">
        <v>406</v>
      </c>
      <c r="U210" s="1" t="s">
        <v>507</v>
      </c>
      <c r="V210" s="1" t="s">
        <v>591</v>
      </c>
    </row>
    <row r="211" spans="1:22" x14ac:dyDescent="0.2">
      <c r="A211">
        <v>175</v>
      </c>
      <c r="B211" t="s">
        <v>367</v>
      </c>
      <c r="C211" t="s">
        <v>319</v>
      </c>
      <c r="D211" t="s">
        <v>477</v>
      </c>
      <c r="E211" t="s">
        <v>406</v>
      </c>
      <c r="F211">
        <v>809</v>
      </c>
      <c r="G211" t="s">
        <v>22</v>
      </c>
      <c r="H211" t="s">
        <v>423</v>
      </c>
      <c r="I211" t="s">
        <v>404</v>
      </c>
      <c r="J211" t="s">
        <v>424</v>
      </c>
      <c r="K211">
        <v>0</v>
      </c>
      <c r="L211" s="1" t="s">
        <v>425</v>
      </c>
      <c r="M211" t="s">
        <v>588</v>
      </c>
      <c r="N211" s="1" t="s">
        <v>589</v>
      </c>
      <c r="O211">
        <v>0</v>
      </c>
      <c r="P211" t="s">
        <v>423</v>
      </c>
      <c r="Q211">
        <v>1</v>
      </c>
      <c r="R211" s="1" t="s">
        <v>590</v>
      </c>
      <c r="S211" s="1" t="s">
        <v>406</v>
      </c>
      <c r="T211" s="1" t="s">
        <v>406</v>
      </c>
      <c r="U211" s="1" t="s">
        <v>507</v>
      </c>
      <c r="V211" s="1" t="s">
        <v>591</v>
      </c>
    </row>
    <row r="212" spans="1:22" x14ac:dyDescent="0.2">
      <c r="A212">
        <v>175</v>
      </c>
      <c r="B212" t="s">
        <v>367</v>
      </c>
      <c r="C212" t="s">
        <v>319</v>
      </c>
      <c r="D212" t="s">
        <v>477</v>
      </c>
      <c r="E212" t="s">
        <v>406</v>
      </c>
      <c r="F212">
        <v>809</v>
      </c>
      <c r="G212" t="s">
        <v>23</v>
      </c>
      <c r="H212" t="s">
        <v>423</v>
      </c>
      <c r="I212" t="s">
        <v>404</v>
      </c>
      <c r="J212" t="s">
        <v>424</v>
      </c>
      <c r="K212">
        <v>0</v>
      </c>
      <c r="L212" s="1" t="s">
        <v>425</v>
      </c>
      <c r="M212" t="s">
        <v>588</v>
      </c>
      <c r="N212" s="1" t="s">
        <v>589</v>
      </c>
      <c r="O212">
        <v>0</v>
      </c>
      <c r="P212" t="s">
        <v>423</v>
      </c>
      <c r="Q212">
        <v>1</v>
      </c>
      <c r="R212" s="1" t="s">
        <v>590</v>
      </c>
      <c r="S212" s="1" t="s">
        <v>406</v>
      </c>
      <c r="T212" s="1" t="s">
        <v>406</v>
      </c>
      <c r="U212" s="1" t="s">
        <v>507</v>
      </c>
      <c r="V212" s="1" t="s">
        <v>591</v>
      </c>
    </row>
    <row r="213" spans="1:22" x14ac:dyDescent="0.2">
      <c r="A213">
        <v>175</v>
      </c>
      <c r="B213" t="s">
        <v>367</v>
      </c>
      <c r="C213" t="s">
        <v>319</v>
      </c>
      <c r="D213" t="s">
        <v>477</v>
      </c>
      <c r="E213" t="s">
        <v>406</v>
      </c>
      <c r="F213">
        <v>809</v>
      </c>
      <c r="G213" t="s">
        <v>24</v>
      </c>
      <c r="H213" t="s">
        <v>423</v>
      </c>
      <c r="I213" t="s">
        <v>404</v>
      </c>
      <c r="J213" t="s">
        <v>424</v>
      </c>
      <c r="K213">
        <v>2</v>
      </c>
      <c r="L213" s="1" t="s">
        <v>425</v>
      </c>
      <c r="M213" t="s">
        <v>588</v>
      </c>
      <c r="N213" s="1" t="s">
        <v>589</v>
      </c>
      <c r="O213">
        <v>2</v>
      </c>
      <c r="P213" t="s">
        <v>423</v>
      </c>
      <c r="Q213">
        <v>1</v>
      </c>
      <c r="R213" s="1" t="s">
        <v>590</v>
      </c>
      <c r="S213" s="1" t="s">
        <v>406</v>
      </c>
      <c r="T213" s="1" t="s">
        <v>406</v>
      </c>
      <c r="U213" s="1" t="s">
        <v>507</v>
      </c>
      <c r="V213" s="1" t="s">
        <v>591</v>
      </c>
    </row>
    <row r="214" spans="1:22" x14ac:dyDescent="0.2">
      <c r="A214">
        <v>175</v>
      </c>
      <c r="B214" t="s">
        <v>367</v>
      </c>
      <c r="C214" t="s">
        <v>319</v>
      </c>
      <c r="D214" t="s">
        <v>477</v>
      </c>
      <c r="E214" t="s">
        <v>406</v>
      </c>
      <c r="F214">
        <v>809</v>
      </c>
      <c r="G214" t="s">
        <v>25</v>
      </c>
      <c r="H214" t="s">
        <v>423</v>
      </c>
      <c r="I214" t="s">
        <v>404</v>
      </c>
      <c r="J214" t="s">
        <v>424</v>
      </c>
      <c r="K214">
        <v>0</v>
      </c>
      <c r="L214" s="1" t="s">
        <v>425</v>
      </c>
      <c r="M214" t="s">
        <v>588</v>
      </c>
      <c r="N214" s="1" t="s">
        <v>589</v>
      </c>
      <c r="O214">
        <v>0</v>
      </c>
      <c r="P214" t="s">
        <v>423</v>
      </c>
      <c r="Q214">
        <v>1</v>
      </c>
      <c r="R214" s="1" t="s">
        <v>590</v>
      </c>
      <c r="S214" s="1" t="s">
        <v>406</v>
      </c>
      <c r="T214" s="1" t="s">
        <v>406</v>
      </c>
      <c r="U214" s="1" t="s">
        <v>507</v>
      </c>
      <c r="V214" s="1" t="s">
        <v>591</v>
      </c>
    </row>
    <row r="215" spans="1:22" x14ac:dyDescent="0.2">
      <c r="A215">
        <v>175</v>
      </c>
      <c r="B215" t="s">
        <v>367</v>
      </c>
      <c r="C215" t="s">
        <v>319</v>
      </c>
      <c r="D215" t="s">
        <v>477</v>
      </c>
      <c r="E215" t="s">
        <v>406</v>
      </c>
      <c r="F215">
        <v>809</v>
      </c>
      <c r="G215" t="s">
        <v>26</v>
      </c>
      <c r="H215" t="s">
        <v>496</v>
      </c>
      <c r="I215" t="s">
        <v>404</v>
      </c>
      <c r="J215" t="s">
        <v>424</v>
      </c>
      <c r="K215">
        <v>100</v>
      </c>
      <c r="L215" s="1" t="s">
        <v>406</v>
      </c>
      <c r="M215" t="s">
        <v>592</v>
      </c>
      <c r="N215" s="1" t="s">
        <v>497</v>
      </c>
      <c r="O215" t="s">
        <v>498</v>
      </c>
      <c r="P215" t="s">
        <v>496</v>
      </c>
      <c r="Q215">
        <v>1</v>
      </c>
      <c r="R215" s="1" t="s">
        <v>406</v>
      </c>
      <c r="S215" s="1" t="s">
        <v>406</v>
      </c>
      <c r="T215" s="1" t="s">
        <v>406</v>
      </c>
      <c r="U215" s="1" t="s">
        <v>507</v>
      </c>
      <c r="V215" s="1" t="s">
        <v>593</v>
      </c>
    </row>
    <row r="216" spans="1:22" x14ac:dyDescent="0.2">
      <c r="A216">
        <v>176</v>
      </c>
      <c r="B216" t="s">
        <v>369</v>
      </c>
      <c r="C216" t="s">
        <v>319</v>
      </c>
      <c r="D216" t="s">
        <v>477</v>
      </c>
      <c r="E216" t="s">
        <v>406</v>
      </c>
      <c r="F216">
        <v>1399</v>
      </c>
      <c r="G216" t="s">
        <v>6</v>
      </c>
      <c r="H216" t="s">
        <v>493</v>
      </c>
      <c r="I216" t="s">
        <v>404</v>
      </c>
      <c r="J216" t="s">
        <v>424</v>
      </c>
      <c r="K216">
        <v>0</v>
      </c>
      <c r="L216" s="1" t="s">
        <v>425</v>
      </c>
      <c r="M216" t="s">
        <v>588</v>
      </c>
      <c r="N216" s="1" t="s">
        <v>589</v>
      </c>
      <c r="O216">
        <v>0</v>
      </c>
      <c r="P216" t="s">
        <v>493</v>
      </c>
      <c r="Q216">
        <v>1</v>
      </c>
      <c r="R216" s="1" t="s">
        <v>590</v>
      </c>
      <c r="S216" s="1" t="s">
        <v>406</v>
      </c>
      <c r="T216" s="1" t="s">
        <v>406</v>
      </c>
      <c r="U216" s="1" t="s">
        <v>507</v>
      </c>
      <c r="V216" s="1" t="s">
        <v>591</v>
      </c>
    </row>
    <row r="217" spans="1:22" x14ac:dyDescent="0.2">
      <c r="A217">
        <v>176</v>
      </c>
      <c r="B217" t="s">
        <v>369</v>
      </c>
      <c r="C217" t="s">
        <v>319</v>
      </c>
      <c r="D217" t="s">
        <v>477</v>
      </c>
      <c r="E217" t="s">
        <v>406</v>
      </c>
      <c r="F217">
        <v>1399</v>
      </c>
      <c r="G217" t="s">
        <v>7</v>
      </c>
      <c r="H217" t="s">
        <v>415</v>
      </c>
      <c r="I217" t="s">
        <v>404</v>
      </c>
      <c r="J217" t="s">
        <v>424</v>
      </c>
      <c r="K217">
        <v>0</v>
      </c>
      <c r="L217" s="1" t="s">
        <v>425</v>
      </c>
      <c r="M217" t="s">
        <v>588</v>
      </c>
      <c r="N217" s="1" t="s">
        <v>589</v>
      </c>
      <c r="O217">
        <v>0</v>
      </c>
      <c r="P217" t="s">
        <v>415</v>
      </c>
      <c r="Q217">
        <v>1</v>
      </c>
      <c r="R217" s="1" t="s">
        <v>590</v>
      </c>
      <c r="S217" s="1" t="s">
        <v>406</v>
      </c>
      <c r="T217" s="1" t="s">
        <v>406</v>
      </c>
      <c r="U217" s="1" t="s">
        <v>507</v>
      </c>
      <c r="V217" s="1" t="s">
        <v>591</v>
      </c>
    </row>
    <row r="218" spans="1:22" x14ac:dyDescent="0.2">
      <c r="A218">
        <v>176</v>
      </c>
      <c r="B218" t="s">
        <v>369</v>
      </c>
      <c r="C218" t="s">
        <v>319</v>
      </c>
      <c r="D218" t="s">
        <v>477</v>
      </c>
      <c r="E218" t="s">
        <v>406</v>
      </c>
      <c r="F218">
        <v>1399</v>
      </c>
      <c r="G218" t="s">
        <v>8</v>
      </c>
      <c r="H218" t="s">
        <v>415</v>
      </c>
      <c r="I218" t="s">
        <v>404</v>
      </c>
      <c r="J218" t="s">
        <v>424</v>
      </c>
      <c r="K218">
        <v>0</v>
      </c>
      <c r="L218" s="1" t="s">
        <v>425</v>
      </c>
      <c r="M218" t="s">
        <v>588</v>
      </c>
      <c r="N218" s="1" t="s">
        <v>589</v>
      </c>
      <c r="O218">
        <v>0</v>
      </c>
      <c r="P218" t="s">
        <v>415</v>
      </c>
      <c r="Q218">
        <v>1</v>
      </c>
      <c r="R218" s="1" t="s">
        <v>590</v>
      </c>
      <c r="S218" s="1" t="s">
        <v>406</v>
      </c>
      <c r="T218" s="1" t="s">
        <v>406</v>
      </c>
      <c r="U218" s="1" t="s">
        <v>507</v>
      </c>
      <c r="V218" s="1" t="s">
        <v>591</v>
      </c>
    </row>
    <row r="219" spans="1:22" ht="16" customHeight="1" x14ac:dyDescent="0.2">
      <c r="A219">
        <v>176</v>
      </c>
      <c r="B219" t="s">
        <v>369</v>
      </c>
      <c r="C219" t="s">
        <v>319</v>
      </c>
      <c r="D219" t="s">
        <v>477</v>
      </c>
      <c r="E219" t="s">
        <v>406</v>
      </c>
      <c r="F219">
        <v>1399</v>
      </c>
      <c r="G219" t="s">
        <v>9</v>
      </c>
      <c r="H219" t="s">
        <v>415</v>
      </c>
      <c r="I219" t="s">
        <v>404</v>
      </c>
      <c r="J219" t="s">
        <v>405</v>
      </c>
      <c r="K219">
        <v>0</v>
      </c>
      <c r="L219" s="11" t="s">
        <v>406</v>
      </c>
      <c r="M219" t="s">
        <v>416</v>
      </c>
      <c r="N219" s="11" t="s">
        <v>417</v>
      </c>
      <c r="O219" t="s">
        <v>418</v>
      </c>
      <c r="P219" t="s">
        <v>415</v>
      </c>
      <c r="Q219">
        <v>1</v>
      </c>
      <c r="R219" s="11" t="s">
        <v>406</v>
      </c>
      <c r="S219" s="11" t="s">
        <v>406</v>
      </c>
      <c r="T219" s="11" t="s">
        <v>406</v>
      </c>
      <c r="U219" s="11" t="s">
        <v>419</v>
      </c>
      <c r="V219" s="11" t="s">
        <v>420</v>
      </c>
    </row>
    <row r="220" spans="1:22" x14ac:dyDescent="0.2">
      <c r="A220">
        <v>176</v>
      </c>
      <c r="B220" t="s">
        <v>369</v>
      </c>
      <c r="C220" t="s">
        <v>319</v>
      </c>
      <c r="D220" t="s">
        <v>477</v>
      </c>
      <c r="E220" t="s">
        <v>406</v>
      </c>
      <c r="F220">
        <v>1399</v>
      </c>
      <c r="G220" t="s">
        <v>10</v>
      </c>
      <c r="H220" t="s">
        <v>415</v>
      </c>
      <c r="I220" t="s">
        <v>404</v>
      </c>
      <c r="J220" t="s">
        <v>424</v>
      </c>
      <c r="K220">
        <v>0</v>
      </c>
      <c r="L220" s="1" t="s">
        <v>425</v>
      </c>
      <c r="M220" t="s">
        <v>588</v>
      </c>
      <c r="N220" s="1" t="s">
        <v>589</v>
      </c>
      <c r="O220">
        <v>0</v>
      </c>
      <c r="P220" t="s">
        <v>415</v>
      </c>
      <c r="Q220">
        <v>1</v>
      </c>
      <c r="R220" s="1" t="s">
        <v>590</v>
      </c>
      <c r="S220" s="1" t="s">
        <v>406</v>
      </c>
      <c r="T220" s="1" t="s">
        <v>406</v>
      </c>
      <c r="U220" s="1" t="s">
        <v>507</v>
      </c>
      <c r="V220" s="1" t="s">
        <v>591</v>
      </c>
    </row>
    <row r="221" spans="1:22" x14ac:dyDescent="0.2">
      <c r="A221">
        <v>176</v>
      </c>
      <c r="B221" t="s">
        <v>369</v>
      </c>
      <c r="C221" t="s">
        <v>319</v>
      </c>
      <c r="D221" t="s">
        <v>477</v>
      </c>
      <c r="E221" t="s">
        <v>406</v>
      </c>
      <c r="F221">
        <v>1399</v>
      </c>
      <c r="G221" t="s">
        <v>11</v>
      </c>
      <c r="H221" t="s">
        <v>415</v>
      </c>
      <c r="I221" t="s">
        <v>404</v>
      </c>
      <c r="J221" t="s">
        <v>424</v>
      </c>
      <c r="K221">
        <v>0</v>
      </c>
      <c r="L221" s="1" t="s">
        <v>425</v>
      </c>
      <c r="M221" t="s">
        <v>588</v>
      </c>
      <c r="N221" s="1" t="s">
        <v>589</v>
      </c>
      <c r="O221">
        <v>0</v>
      </c>
      <c r="P221" t="s">
        <v>415</v>
      </c>
      <c r="Q221">
        <v>1</v>
      </c>
      <c r="R221" s="1" t="s">
        <v>590</v>
      </c>
      <c r="S221" s="1" t="s">
        <v>406</v>
      </c>
      <c r="T221" s="1" t="s">
        <v>406</v>
      </c>
      <c r="U221" s="1" t="s">
        <v>507</v>
      </c>
      <c r="V221" s="1" t="s">
        <v>591</v>
      </c>
    </row>
    <row r="222" spans="1:22" x14ac:dyDescent="0.2">
      <c r="A222">
        <v>176</v>
      </c>
      <c r="B222" t="s">
        <v>369</v>
      </c>
      <c r="C222" t="s">
        <v>319</v>
      </c>
      <c r="D222" t="s">
        <v>477</v>
      </c>
      <c r="E222" t="s">
        <v>406</v>
      </c>
      <c r="F222">
        <v>1399</v>
      </c>
      <c r="G222" t="s">
        <v>12</v>
      </c>
      <c r="H222" t="s">
        <v>415</v>
      </c>
      <c r="I222" t="s">
        <v>404</v>
      </c>
      <c r="J222" t="s">
        <v>424</v>
      </c>
      <c r="K222">
        <v>7.0000000000000007E-2</v>
      </c>
      <c r="L222" s="1" t="s">
        <v>425</v>
      </c>
      <c r="M222" t="s">
        <v>588</v>
      </c>
      <c r="N222" s="1" t="s">
        <v>589</v>
      </c>
      <c r="O222">
        <v>7.0000000000000007E-2</v>
      </c>
      <c r="P222" t="s">
        <v>415</v>
      </c>
      <c r="Q222">
        <v>1</v>
      </c>
      <c r="R222" s="1" t="s">
        <v>590</v>
      </c>
      <c r="S222" s="1" t="s">
        <v>406</v>
      </c>
      <c r="T222" s="1" t="s">
        <v>406</v>
      </c>
      <c r="U222" s="1" t="s">
        <v>507</v>
      </c>
      <c r="V222" s="1" t="s">
        <v>591</v>
      </c>
    </row>
    <row r="223" spans="1:22" x14ac:dyDescent="0.2">
      <c r="A223">
        <v>176</v>
      </c>
      <c r="B223" t="s">
        <v>369</v>
      </c>
      <c r="C223" t="s">
        <v>319</v>
      </c>
      <c r="D223" t="s">
        <v>477</v>
      </c>
      <c r="E223" t="s">
        <v>406</v>
      </c>
      <c r="F223">
        <v>1399</v>
      </c>
      <c r="G223" t="s">
        <v>13</v>
      </c>
      <c r="H223" t="s">
        <v>403</v>
      </c>
      <c r="I223" t="s">
        <v>404</v>
      </c>
      <c r="J223" t="s">
        <v>424</v>
      </c>
      <c r="K223">
        <v>0</v>
      </c>
      <c r="L223" s="1" t="s">
        <v>425</v>
      </c>
      <c r="M223" t="s">
        <v>588</v>
      </c>
      <c r="N223" s="1" t="s">
        <v>589</v>
      </c>
      <c r="O223">
        <v>0</v>
      </c>
      <c r="P223" t="s">
        <v>403</v>
      </c>
      <c r="Q223">
        <v>1</v>
      </c>
      <c r="R223" s="1" t="s">
        <v>590</v>
      </c>
      <c r="S223" s="1" t="s">
        <v>406</v>
      </c>
      <c r="T223" s="1" t="s">
        <v>406</v>
      </c>
      <c r="U223" s="1" t="s">
        <v>507</v>
      </c>
      <c r="V223" s="1" t="s">
        <v>591</v>
      </c>
    </row>
    <row r="224" spans="1:22" x14ac:dyDescent="0.2">
      <c r="A224">
        <v>176</v>
      </c>
      <c r="B224" t="s">
        <v>369</v>
      </c>
      <c r="C224" t="s">
        <v>319</v>
      </c>
      <c r="D224" t="s">
        <v>477</v>
      </c>
      <c r="E224" t="s">
        <v>406</v>
      </c>
      <c r="F224">
        <v>1399</v>
      </c>
      <c r="G224" t="s">
        <v>14</v>
      </c>
      <c r="H224" t="s">
        <v>403</v>
      </c>
      <c r="I224" t="s">
        <v>404</v>
      </c>
      <c r="J224" t="s">
        <v>424</v>
      </c>
      <c r="K224">
        <v>0</v>
      </c>
      <c r="L224" s="1" t="s">
        <v>425</v>
      </c>
      <c r="M224" t="s">
        <v>588</v>
      </c>
      <c r="N224" s="1" t="s">
        <v>589</v>
      </c>
      <c r="O224">
        <v>0</v>
      </c>
      <c r="P224" t="s">
        <v>403</v>
      </c>
      <c r="Q224">
        <v>1</v>
      </c>
      <c r="R224" s="1" t="s">
        <v>590</v>
      </c>
      <c r="S224" s="1" t="s">
        <v>406</v>
      </c>
      <c r="T224" s="1" t="s">
        <v>406</v>
      </c>
      <c r="U224" s="1" t="s">
        <v>507</v>
      </c>
      <c r="V224" s="1" t="s">
        <v>591</v>
      </c>
    </row>
    <row r="225" spans="1:22" x14ac:dyDescent="0.2">
      <c r="A225">
        <v>176</v>
      </c>
      <c r="B225" t="s">
        <v>369</v>
      </c>
      <c r="C225" t="s">
        <v>319</v>
      </c>
      <c r="D225" t="s">
        <v>477</v>
      </c>
      <c r="E225" t="s">
        <v>406</v>
      </c>
      <c r="F225">
        <v>1399</v>
      </c>
      <c r="G225" t="s">
        <v>15</v>
      </c>
      <c r="H225" t="s">
        <v>423</v>
      </c>
      <c r="I225" t="s">
        <v>404</v>
      </c>
      <c r="J225" t="s">
        <v>424</v>
      </c>
      <c r="K225">
        <v>0</v>
      </c>
      <c r="L225" s="1" t="s">
        <v>425</v>
      </c>
      <c r="M225" t="s">
        <v>588</v>
      </c>
      <c r="N225" s="1" t="s">
        <v>589</v>
      </c>
      <c r="O225">
        <v>0</v>
      </c>
      <c r="P225" t="s">
        <v>423</v>
      </c>
      <c r="Q225">
        <v>1</v>
      </c>
      <c r="R225" s="1" t="s">
        <v>590</v>
      </c>
      <c r="S225" s="1" t="s">
        <v>406</v>
      </c>
      <c r="T225" s="1" t="s">
        <v>406</v>
      </c>
      <c r="U225" s="1" t="s">
        <v>507</v>
      </c>
      <c r="V225" s="1" t="s">
        <v>591</v>
      </c>
    </row>
    <row r="226" spans="1:22" x14ac:dyDescent="0.2">
      <c r="A226">
        <v>176</v>
      </c>
      <c r="B226" t="s">
        <v>369</v>
      </c>
      <c r="C226" t="s">
        <v>319</v>
      </c>
      <c r="D226" t="s">
        <v>477</v>
      </c>
      <c r="E226" t="s">
        <v>406</v>
      </c>
      <c r="F226">
        <v>1399</v>
      </c>
      <c r="G226" t="s">
        <v>16</v>
      </c>
      <c r="H226" t="s">
        <v>423</v>
      </c>
      <c r="I226" t="s">
        <v>404</v>
      </c>
      <c r="J226" t="s">
        <v>424</v>
      </c>
      <c r="K226">
        <v>0</v>
      </c>
      <c r="L226" s="1" t="s">
        <v>425</v>
      </c>
      <c r="M226" t="s">
        <v>588</v>
      </c>
      <c r="N226" s="1" t="s">
        <v>589</v>
      </c>
      <c r="O226">
        <v>0</v>
      </c>
      <c r="P226" t="s">
        <v>423</v>
      </c>
      <c r="Q226">
        <v>1</v>
      </c>
      <c r="R226" s="1" t="s">
        <v>590</v>
      </c>
      <c r="S226" s="1" t="s">
        <v>406</v>
      </c>
      <c r="T226" s="1" t="s">
        <v>406</v>
      </c>
      <c r="U226" s="1" t="s">
        <v>507</v>
      </c>
      <c r="V226" s="1" t="s">
        <v>591</v>
      </c>
    </row>
    <row r="227" spans="1:22" x14ac:dyDescent="0.2">
      <c r="A227">
        <v>176</v>
      </c>
      <c r="B227" t="s">
        <v>369</v>
      </c>
      <c r="C227" t="s">
        <v>319</v>
      </c>
      <c r="D227" t="s">
        <v>477</v>
      </c>
      <c r="E227" t="s">
        <v>406</v>
      </c>
      <c r="F227">
        <v>1399</v>
      </c>
      <c r="G227" t="s">
        <v>17</v>
      </c>
      <c r="H227" t="s">
        <v>423</v>
      </c>
      <c r="I227" t="s">
        <v>404</v>
      </c>
      <c r="J227" t="s">
        <v>424</v>
      </c>
      <c r="K227">
        <v>0</v>
      </c>
      <c r="L227" s="1" t="s">
        <v>425</v>
      </c>
      <c r="M227" t="s">
        <v>588</v>
      </c>
      <c r="N227" s="1" t="s">
        <v>589</v>
      </c>
      <c r="O227">
        <v>0</v>
      </c>
      <c r="P227" t="s">
        <v>423</v>
      </c>
      <c r="Q227">
        <v>1</v>
      </c>
      <c r="R227" s="1" t="s">
        <v>590</v>
      </c>
      <c r="S227" s="1" t="s">
        <v>406</v>
      </c>
      <c r="T227" s="1" t="s">
        <v>406</v>
      </c>
      <c r="U227" s="1" t="s">
        <v>507</v>
      </c>
      <c r="V227" s="1" t="s">
        <v>591</v>
      </c>
    </row>
    <row r="228" spans="1:22" x14ac:dyDescent="0.2">
      <c r="A228">
        <v>176</v>
      </c>
      <c r="B228" t="s">
        <v>369</v>
      </c>
      <c r="C228" t="s">
        <v>319</v>
      </c>
      <c r="D228" t="s">
        <v>477</v>
      </c>
      <c r="E228" t="s">
        <v>406</v>
      </c>
      <c r="F228">
        <v>1399</v>
      </c>
      <c r="G228" t="s">
        <v>18</v>
      </c>
      <c r="H228" t="s">
        <v>423</v>
      </c>
      <c r="I228" t="s">
        <v>404</v>
      </c>
      <c r="J228" t="s">
        <v>424</v>
      </c>
      <c r="K228">
        <v>0</v>
      </c>
      <c r="L228" s="1" t="s">
        <v>425</v>
      </c>
      <c r="M228" t="s">
        <v>588</v>
      </c>
      <c r="N228" s="1" t="s">
        <v>589</v>
      </c>
      <c r="O228">
        <v>0</v>
      </c>
      <c r="P228" t="s">
        <v>423</v>
      </c>
      <c r="Q228">
        <v>1</v>
      </c>
      <c r="R228" s="1" t="s">
        <v>590</v>
      </c>
      <c r="S228" s="1" t="s">
        <v>406</v>
      </c>
      <c r="T228" s="1" t="s">
        <v>406</v>
      </c>
      <c r="U228" s="1" t="s">
        <v>507</v>
      </c>
      <c r="V228" s="1" t="s">
        <v>591</v>
      </c>
    </row>
    <row r="229" spans="1:22" x14ac:dyDescent="0.2">
      <c r="A229">
        <v>176</v>
      </c>
      <c r="B229" t="s">
        <v>369</v>
      </c>
      <c r="C229" t="s">
        <v>319</v>
      </c>
      <c r="D229" t="s">
        <v>477</v>
      </c>
      <c r="E229" t="s">
        <v>406</v>
      </c>
      <c r="F229">
        <v>1399</v>
      </c>
      <c r="G229" t="s">
        <v>19</v>
      </c>
      <c r="H229" t="s">
        <v>423</v>
      </c>
      <c r="I229" t="s">
        <v>404</v>
      </c>
      <c r="J229" t="s">
        <v>424</v>
      </c>
      <c r="K229">
        <v>10</v>
      </c>
      <c r="L229" s="1" t="s">
        <v>425</v>
      </c>
      <c r="M229" t="s">
        <v>588</v>
      </c>
      <c r="N229" s="1" t="s">
        <v>589</v>
      </c>
      <c r="O229">
        <v>10</v>
      </c>
      <c r="P229" t="s">
        <v>423</v>
      </c>
      <c r="Q229">
        <v>1</v>
      </c>
      <c r="R229" s="1" t="s">
        <v>590</v>
      </c>
      <c r="S229" s="1" t="s">
        <v>406</v>
      </c>
      <c r="T229" s="1" t="s">
        <v>406</v>
      </c>
      <c r="U229" s="1" t="s">
        <v>507</v>
      </c>
      <c r="V229" s="1" t="s">
        <v>591</v>
      </c>
    </row>
    <row r="230" spans="1:22" x14ac:dyDescent="0.2">
      <c r="A230">
        <v>176</v>
      </c>
      <c r="B230" t="s">
        <v>369</v>
      </c>
      <c r="C230" t="s">
        <v>319</v>
      </c>
      <c r="D230" t="s">
        <v>477</v>
      </c>
      <c r="E230" t="s">
        <v>406</v>
      </c>
      <c r="F230">
        <v>1399</v>
      </c>
      <c r="G230" t="s">
        <v>20</v>
      </c>
      <c r="H230" t="s">
        <v>423</v>
      </c>
      <c r="I230" t="s">
        <v>404</v>
      </c>
      <c r="J230" t="s">
        <v>424</v>
      </c>
      <c r="K230">
        <v>7.0000000000000001E-3</v>
      </c>
      <c r="L230" s="1" t="s">
        <v>425</v>
      </c>
      <c r="M230" t="s">
        <v>588</v>
      </c>
      <c r="N230" s="1" t="s">
        <v>589</v>
      </c>
      <c r="O230">
        <v>7.0000000000000001E-3</v>
      </c>
      <c r="P230" t="s">
        <v>423</v>
      </c>
      <c r="Q230">
        <v>1</v>
      </c>
      <c r="R230" s="1" t="s">
        <v>590</v>
      </c>
      <c r="S230" s="1" t="s">
        <v>406</v>
      </c>
      <c r="T230" s="1" t="s">
        <v>406</v>
      </c>
      <c r="U230" s="1" t="s">
        <v>507</v>
      </c>
      <c r="V230" s="1" t="s">
        <v>591</v>
      </c>
    </row>
    <row r="231" spans="1:22" x14ac:dyDescent="0.2">
      <c r="A231">
        <v>176</v>
      </c>
      <c r="B231" t="s">
        <v>369</v>
      </c>
      <c r="C231" t="s">
        <v>319</v>
      </c>
      <c r="D231" t="s">
        <v>477</v>
      </c>
      <c r="E231" t="s">
        <v>406</v>
      </c>
      <c r="F231">
        <v>1399</v>
      </c>
      <c r="G231" t="s">
        <v>21</v>
      </c>
      <c r="H231" t="s">
        <v>423</v>
      </c>
      <c r="I231" t="s">
        <v>404</v>
      </c>
      <c r="J231" t="s">
        <v>424</v>
      </c>
      <c r="K231">
        <v>0</v>
      </c>
      <c r="L231" s="1" t="s">
        <v>425</v>
      </c>
      <c r="M231" t="s">
        <v>588</v>
      </c>
      <c r="N231" s="1" t="s">
        <v>589</v>
      </c>
      <c r="O231">
        <v>0</v>
      </c>
      <c r="P231" t="s">
        <v>423</v>
      </c>
      <c r="Q231">
        <v>1</v>
      </c>
      <c r="R231" s="1" t="s">
        <v>590</v>
      </c>
      <c r="S231" s="1" t="s">
        <v>406</v>
      </c>
      <c r="T231" s="1" t="s">
        <v>406</v>
      </c>
      <c r="U231" s="1" t="s">
        <v>507</v>
      </c>
      <c r="V231" s="1" t="s">
        <v>591</v>
      </c>
    </row>
    <row r="232" spans="1:22" x14ac:dyDescent="0.2">
      <c r="A232">
        <v>176</v>
      </c>
      <c r="B232" t="s">
        <v>369</v>
      </c>
      <c r="C232" t="s">
        <v>319</v>
      </c>
      <c r="D232" t="s">
        <v>477</v>
      </c>
      <c r="E232" t="s">
        <v>406</v>
      </c>
      <c r="F232">
        <v>1399</v>
      </c>
      <c r="G232" t="s">
        <v>22</v>
      </c>
      <c r="H232" t="s">
        <v>423</v>
      </c>
      <c r="I232" t="s">
        <v>404</v>
      </c>
      <c r="J232" t="s">
        <v>424</v>
      </c>
      <c r="K232">
        <v>0</v>
      </c>
      <c r="L232" s="1" t="s">
        <v>425</v>
      </c>
      <c r="M232" t="s">
        <v>588</v>
      </c>
      <c r="N232" s="1" t="s">
        <v>589</v>
      </c>
      <c r="O232">
        <v>0</v>
      </c>
      <c r="P232" t="s">
        <v>423</v>
      </c>
      <c r="Q232">
        <v>1</v>
      </c>
      <c r="R232" s="1" t="s">
        <v>590</v>
      </c>
      <c r="S232" s="1" t="s">
        <v>406</v>
      </c>
      <c r="T232" s="1" t="s">
        <v>406</v>
      </c>
      <c r="U232" s="1" t="s">
        <v>507</v>
      </c>
      <c r="V232" s="1" t="s">
        <v>591</v>
      </c>
    </row>
    <row r="233" spans="1:22" x14ac:dyDescent="0.2">
      <c r="A233">
        <v>176</v>
      </c>
      <c r="B233" t="s">
        <v>369</v>
      </c>
      <c r="C233" t="s">
        <v>319</v>
      </c>
      <c r="D233" t="s">
        <v>477</v>
      </c>
      <c r="E233" t="s">
        <v>406</v>
      </c>
      <c r="F233">
        <v>1399</v>
      </c>
      <c r="G233" t="s">
        <v>23</v>
      </c>
      <c r="H233" t="s">
        <v>423</v>
      </c>
      <c r="I233" t="s">
        <v>404</v>
      </c>
      <c r="J233" t="s">
        <v>424</v>
      </c>
      <c r="K233">
        <v>0</v>
      </c>
      <c r="L233" s="1" t="s">
        <v>425</v>
      </c>
      <c r="M233" t="s">
        <v>588</v>
      </c>
      <c r="N233" s="1" t="s">
        <v>589</v>
      </c>
      <c r="O233">
        <v>0</v>
      </c>
      <c r="P233" t="s">
        <v>423</v>
      </c>
      <c r="Q233">
        <v>1</v>
      </c>
      <c r="R233" s="1" t="s">
        <v>590</v>
      </c>
      <c r="S233" s="1" t="s">
        <v>406</v>
      </c>
      <c r="T233" s="1" t="s">
        <v>406</v>
      </c>
      <c r="U233" s="1" t="s">
        <v>507</v>
      </c>
      <c r="V233" s="1" t="s">
        <v>591</v>
      </c>
    </row>
    <row r="234" spans="1:22" x14ac:dyDescent="0.2">
      <c r="A234">
        <v>176</v>
      </c>
      <c r="B234" t="s">
        <v>369</v>
      </c>
      <c r="C234" t="s">
        <v>319</v>
      </c>
      <c r="D234" t="s">
        <v>477</v>
      </c>
      <c r="E234" t="s">
        <v>406</v>
      </c>
      <c r="F234">
        <v>1399</v>
      </c>
      <c r="G234" t="s">
        <v>24</v>
      </c>
      <c r="H234" t="s">
        <v>423</v>
      </c>
      <c r="I234" t="s">
        <v>404</v>
      </c>
      <c r="J234" t="s">
        <v>424</v>
      </c>
      <c r="K234">
        <v>2</v>
      </c>
      <c r="L234" s="1" t="s">
        <v>425</v>
      </c>
      <c r="M234" t="s">
        <v>588</v>
      </c>
      <c r="N234" s="1" t="s">
        <v>589</v>
      </c>
      <c r="O234">
        <v>2</v>
      </c>
      <c r="P234" t="s">
        <v>423</v>
      </c>
      <c r="Q234">
        <v>1</v>
      </c>
      <c r="R234" s="1" t="s">
        <v>590</v>
      </c>
      <c r="S234" s="1" t="s">
        <v>406</v>
      </c>
      <c r="T234" s="1" t="s">
        <v>406</v>
      </c>
      <c r="U234" s="1" t="s">
        <v>507</v>
      </c>
      <c r="V234" s="1" t="s">
        <v>591</v>
      </c>
    </row>
    <row r="235" spans="1:22" x14ac:dyDescent="0.2">
      <c r="A235">
        <v>176</v>
      </c>
      <c r="B235" t="s">
        <v>369</v>
      </c>
      <c r="C235" t="s">
        <v>319</v>
      </c>
      <c r="D235" t="s">
        <v>477</v>
      </c>
      <c r="E235" t="s">
        <v>406</v>
      </c>
      <c r="F235">
        <v>1399</v>
      </c>
      <c r="G235" t="s">
        <v>25</v>
      </c>
      <c r="H235" t="s">
        <v>423</v>
      </c>
      <c r="I235" t="s">
        <v>404</v>
      </c>
      <c r="J235" t="s">
        <v>424</v>
      </c>
      <c r="K235">
        <v>0</v>
      </c>
      <c r="L235" s="1" t="s">
        <v>425</v>
      </c>
      <c r="M235" t="s">
        <v>588</v>
      </c>
      <c r="N235" s="1" t="s">
        <v>589</v>
      </c>
      <c r="O235">
        <v>0</v>
      </c>
      <c r="P235" t="s">
        <v>423</v>
      </c>
      <c r="Q235">
        <v>1</v>
      </c>
      <c r="R235" s="1" t="s">
        <v>590</v>
      </c>
      <c r="S235" s="1" t="s">
        <v>406</v>
      </c>
      <c r="T235" s="1" t="s">
        <v>406</v>
      </c>
      <c r="U235" s="1" t="s">
        <v>507</v>
      </c>
      <c r="V235" s="1" t="s">
        <v>591</v>
      </c>
    </row>
    <row r="236" spans="1:22" x14ac:dyDescent="0.2">
      <c r="A236">
        <v>176</v>
      </c>
      <c r="B236" t="s">
        <v>369</v>
      </c>
      <c r="C236" t="s">
        <v>319</v>
      </c>
      <c r="D236" t="s">
        <v>477</v>
      </c>
      <c r="E236" t="s">
        <v>406</v>
      </c>
      <c r="F236">
        <v>1399</v>
      </c>
      <c r="G236" t="s">
        <v>26</v>
      </c>
      <c r="H236" t="s">
        <v>496</v>
      </c>
      <c r="I236" t="s">
        <v>404</v>
      </c>
      <c r="J236" t="s">
        <v>424</v>
      </c>
      <c r="K236">
        <v>100</v>
      </c>
      <c r="L236" s="1" t="s">
        <v>406</v>
      </c>
      <c r="M236" t="s">
        <v>592</v>
      </c>
      <c r="N236" s="1" t="s">
        <v>497</v>
      </c>
      <c r="O236" t="s">
        <v>498</v>
      </c>
      <c r="P236" t="s">
        <v>496</v>
      </c>
      <c r="Q236">
        <v>1</v>
      </c>
      <c r="R236" s="1" t="s">
        <v>406</v>
      </c>
      <c r="S236" s="1" t="s">
        <v>406</v>
      </c>
      <c r="T236" s="1" t="s">
        <v>406</v>
      </c>
      <c r="U236" s="1" t="s">
        <v>507</v>
      </c>
      <c r="V236" s="1" t="s">
        <v>593</v>
      </c>
    </row>
    <row r="237" spans="1:22" x14ac:dyDescent="0.2">
      <c r="A237">
        <v>177</v>
      </c>
      <c r="B237" t="s">
        <v>371</v>
      </c>
      <c r="C237" t="s">
        <v>319</v>
      </c>
      <c r="D237" t="s">
        <v>1591</v>
      </c>
      <c r="E237" t="s">
        <v>1576</v>
      </c>
      <c r="F237">
        <v>388</v>
      </c>
      <c r="G237" t="s">
        <v>6</v>
      </c>
      <c r="H237" t="s">
        <v>493</v>
      </c>
      <c r="I237" t="s">
        <v>404</v>
      </c>
      <c r="J237" t="s">
        <v>424</v>
      </c>
      <c r="K237">
        <v>42.666666666666657</v>
      </c>
      <c r="L237" s="1" t="s">
        <v>425</v>
      </c>
      <c r="M237" t="s">
        <v>594</v>
      </c>
      <c r="N237" s="1" t="s">
        <v>595</v>
      </c>
      <c r="O237">
        <v>42.666666666666657</v>
      </c>
      <c r="P237" t="s">
        <v>493</v>
      </c>
      <c r="Q237" t="s">
        <v>596</v>
      </c>
      <c r="R237" s="1" t="s">
        <v>597</v>
      </c>
      <c r="S237" s="1" t="s">
        <v>598</v>
      </c>
      <c r="T237" s="1" t="s">
        <v>599</v>
      </c>
      <c r="U237" s="1" t="s">
        <v>1592</v>
      </c>
      <c r="V237" s="1" t="s">
        <v>600</v>
      </c>
    </row>
    <row r="238" spans="1:22" x14ac:dyDescent="0.2">
      <c r="A238">
        <v>177</v>
      </c>
      <c r="B238" t="s">
        <v>371</v>
      </c>
      <c r="C238" t="s">
        <v>319</v>
      </c>
      <c r="D238" t="s">
        <v>1591</v>
      </c>
      <c r="E238" t="s">
        <v>1576</v>
      </c>
      <c r="F238">
        <v>388</v>
      </c>
      <c r="G238" t="s">
        <v>7</v>
      </c>
      <c r="H238" t="s">
        <v>415</v>
      </c>
      <c r="I238" t="s">
        <v>404</v>
      </c>
      <c r="J238" t="s">
        <v>424</v>
      </c>
      <c r="K238">
        <v>0.03</v>
      </c>
      <c r="L238" s="1" t="s">
        <v>425</v>
      </c>
      <c r="M238" t="s">
        <v>594</v>
      </c>
      <c r="N238" s="1" t="s">
        <v>595</v>
      </c>
      <c r="O238">
        <v>0.03</v>
      </c>
      <c r="P238" t="s">
        <v>415</v>
      </c>
      <c r="Q238" t="s">
        <v>596</v>
      </c>
      <c r="R238" s="1" t="s">
        <v>597</v>
      </c>
      <c r="S238" s="1" t="s">
        <v>598</v>
      </c>
      <c r="T238" s="1" t="s">
        <v>599</v>
      </c>
      <c r="U238" s="1" t="s">
        <v>1592</v>
      </c>
      <c r="V238" s="1" t="s">
        <v>601</v>
      </c>
    </row>
    <row r="239" spans="1:22" x14ac:dyDescent="0.2">
      <c r="A239">
        <v>177</v>
      </c>
      <c r="B239" t="s">
        <v>371</v>
      </c>
      <c r="C239" t="s">
        <v>319</v>
      </c>
      <c r="D239" t="s">
        <v>1591</v>
      </c>
      <c r="E239" t="s">
        <v>1576</v>
      </c>
      <c r="F239">
        <v>388</v>
      </c>
      <c r="G239" t="s">
        <v>8</v>
      </c>
      <c r="H239" t="s">
        <v>415</v>
      </c>
      <c r="I239" t="s">
        <v>404</v>
      </c>
      <c r="J239" t="s">
        <v>424</v>
      </c>
      <c r="K239">
        <v>0.15666666666666659</v>
      </c>
      <c r="L239" s="1" t="s">
        <v>425</v>
      </c>
      <c r="M239" t="s">
        <v>594</v>
      </c>
      <c r="N239" s="1" t="s">
        <v>595</v>
      </c>
      <c r="O239">
        <v>0.15666666666666659</v>
      </c>
      <c r="P239" t="s">
        <v>415</v>
      </c>
      <c r="Q239" t="s">
        <v>596</v>
      </c>
      <c r="R239" s="1" t="s">
        <v>597</v>
      </c>
      <c r="S239" s="1" t="s">
        <v>598</v>
      </c>
      <c r="T239" s="1" t="s">
        <v>599</v>
      </c>
      <c r="U239" s="1" t="s">
        <v>1592</v>
      </c>
      <c r="V239" s="1" t="s">
        <v>602</v>
      </c>
    </row>
    <row r="240" spans="1:22" ht="16" customHeight="1" x14ac:dyDescent="0.2">
      <c r="A240">
        <v>177</v>
      </c>
      <c r="B240" t="s">
        <v>371</v>
      </c>
      <c r="C240" t="s">
        <v>319</v>
      </c>
      <c r="D240" t="s">
        <v>1591</v>
      </c>
      <c r="E240" t="s">
        <v>1576</v>
      </c>
      <c r="F240">
        <v>388</v>
      </c>
      <c r="G240" t="s">
        <v>9</v>
      </c>
      <c r="H240" t="s">
        <v>415</v>
      </c>
      <c r="I240" t="s">
        <v>404</v>
      </c>
      <c r="J240" t="s">
        <v>405</v>
      </c>
      <c r="K240">
        <v>0</v>
      </c>
      <c r="L240" s="11" t="s">
        <v>406</v>
      </c>
      <c r="M240" t="s">
        <v>416</v>
      </c>
      <c r="N240" s="11" t="s">
        <v>417</v>
      </c>
      <c r="O240" t="s">
        <v>418</v>
      </c>
      <c r="P240" t="s">
        <v>415</v>
      </c>
      <c r="Q240">
        <v>1</v>
      </c>
      <c r="R240" s="11" t="s">
        <v>406</v>
      </c>
      <c r="S240" s="11" t="s">
        <v>406</v>
      </c>
      <c r="T240" s="11" t="s">
        <v>406</v>
      </c>
      <c r="U240" s="11" t="s">
        <v>419</v>
      </c>
      <c r="V240" s="11" t="s">
        <v>420</v>
      </c>
    </row>
    <row r="241" spans="1:22" x14ac:dyDescent="0.2">
      <c r="A241">
        <v>177</v>
      </c>
      <c r="B241" t="s">
        <v>371</v>
      </c>
      <c r="C241" t="s">
        <v>319</v>
      </c>
      <c r="D241" t="s">
        <v>1591</v>
      </c>
      <c r="E241" t="s">
        <v>1576</v>
      </c>
      <c r="F241">
        <v>388</v>
      </c>
      <c r="G241" t="s">
        <v>10</v>
      </c>
      <c r="H241" t="s">
        <v>415</v>
      </c>
      <c r="I241" t="s">
        <v>404</v>
      </c>
      <c r="J241" t="s">
        <v>424</v>
      </c>
      <c r="K241">
        <v>10.526666666666671</v>
      </c>
      <c r="L241" s="1" t="s">
        <v>425</v>
      </c>
      <c r="M241" t="s">
        <v>594</v>
      </c>
      <c r="N241" s="1" t="s">
        <v>595</v>
      </c>
      <c r="O241">
        <v>10.526666666666671</v>
      </c>
      <c r="P241" t="s">
        <v>415</v>
      </c>
      <c r="Q241" t="s">
        <v>596</v>
      </c>
      <c r="R241" s="1" t="s">
        <v>597</v>
      </c>
      <c r="S241" s="1" t="s">
        <v>598</v>
      </c>
      <c r="T241" s="1" t="s">
        <v>599</v>
      </c>
      <c r="U241" s="1" t="s">
        <v>1592</v>
      </c>
      <c r="V241" s="1" t="s">
        <v>603</v>
      </c>
    </row>
    <row r="242" spans="1:22" x14ac:dyDescent="0.2">
      <c r="A242">
        <v>177</v>
      </c>
      <c r="B242" t="s">
        <v>371</v>
      </c>
      <c r="C242" t="s">
        <v>319</v>
      </c>
      <c r="D242" t="s">
        <v>1591</v>
      </c>
      <c r="E242" t="s">
        <v>1576</v>
      </c>
      <c r="F242">
        <v>388</v>
      </c>
      <c r="G242" t="s">
        <v>11</v>
      </c>
      <c r="H242" t="s">
        <v>415</v>
      </c>
      <c r="I242" t="s">
        <v>404</v>
      </c>
      <c r="J242" t="s">
        <v>424</v>
      </c>
      <c r="K242">
        <v>0</v>
      </c>
      <c r="L242" s="1" t="s">
        <v>425</v>
      </c>
      <c r="M242" t="s">
        <v>594</v>
      </c>
      <c r="N242" s="1" t="s">
        <v>595</v>
      </c>
      <c r="O242">
        <v>0</v>
      </c>
      <c r="P242" t="s">
        <v>415</v>
      </c>
      <c r="Q242" t="s">
        <v>596</v>
      </c>
      <c r="R242" s="1" t="s">
        <v>597</v>
      </c>
      <c r="S242" s="1" t="s">
        <v>598</v>
      </c>
      <c r="T242" s="1" t="s">
        <v>599</v>
      </c>
      <c r="U242" s="1" t="s">
        <v>1592</v>
      </c>
      <c r="V242" s="1" t="s">
        <v>604</v>
      </c>
    </row>
    <row r="243" spans="1:22" x14ac:dyDescent="0.2">
      <c r="A243">
        <v>177</v>
      </c>
      <c r="B243" t="s">
        <v>371</v>
      </c>
      <c r="C243" t="s">
        <v>319</v>
      </c>
      <c r="D243" t="s">
        <v>1591</v>
      </c>
      <c r="E243" t="s">
        <v>1576</v>
      </c>
      <c r="F243">
        <v>388</v>
      </c>
      <c r="G243" t="s">
        <v>12</v>
      </c>
      <c r="H243" t="s">
        <v>415</v>
      </c>
      <c r="I243" t="s">
        <v>404</v>
      </c>
      <c r="J243" t="s">
        <v>424</v>
      </c>
      <c r="K243">
        <v>2.3333333333333331E-2</v>
      </c>
      <c r="L243" s="1" t="s">
        <v>425</v>
      </c>
      <c r="M243" t="s">
        <v>594</v>
      </c>
      <c r="N243" s="1" t="s">
        <v>595</v>
      </c>
      <c r="O243">
        <v>2.3333333333333331E-2</v>
      </c>
      <c r="P243" t="s">
        <v>415</v>
      </c>
      <c r="Q243" t="s">
        <v>596</v>
      </c>
      <c r="R243" s="1" t="s">
        <v>597</v>
      </c>
      <c r="S243" s="1" t="s">
        <v>598</v>
      </c>
      <c r="T243" s="1" t="s">
        <v>599</v>
      </c>
      <c r="U243" s="1" t="s">
        <v>1592</v>
      </c>
      <c r="V243" s="1" t="s">
        <v>605</v>
      </c>
    </row>
    <row r="244" spans="1:22" x14ac:dyDescent="0.2">
      <c r="A244">
        <v>177</v>
      </c>
      <c r="B244" t="s">
        <v>371</v>
      </c>
      <c r="C244" t="s">
        <v>319</v>
      </c>
      <c r="D244" t="s">
        <v>1591</v>
      </c>
      <c r="E244" t="s">
        <v>1576</v>
      </c>
      <c r="F244">
        <v>388</v>
      </c>
      <c r="G244" t="s">
        <v>13</v>
      </c>
      <c r="H244" t="s">
        <v>403</v>
      </c>
      <c r="I244" t="s">
        <v>404</v>
      </c>
      <c r="J244" t="s">
        <v>424</v>
      </c>
      <c r="K244">
        <v>0</v>
      </c>
      <c r="L244" s="1" t="s">
        <v>425</v>
      </c>
      <c r="M244" t="s">
        <v>594</v>
      </c>
      <c r="N244" s="1" t="s">
        <v>595</v>
      </c>
      <c r="O244">
        <v>0</v>
      </c>
      <c r="P244" t="s">
        <v>403</v>
      </c>
      <c r="Q244" t="s">
        <v>596</v>
      </c>
      <c r="R244" s="1" t="s">
        <v>597</v>
      </c>
      <c r="S244" s="1" t="s">
        <v>598</v>
      </c>
      <c r="T244" s="1" t="s">
        <v>599</v>
      </c>
      <c r="U244" s="1" t="s">
        <v>1592</v>
      </c>
      <c r="V244" s="1" t="s">
        <v>604</v>
      </c>
    </row>
    <row r="245" spans="1:22" x14ac:dyDescent="0.2">
      <c r="A245">
        <v>177</v>
      </c>
      <c r="B245" t="s">
        <v>371</v>
      </c>
      <c r="C245" t="s">
        <v>319</v>
      </c>
      <c r="D245" t="s">
        <v>1591</v>
      </c>
      <c r="E245" t="s">
        <v>1576</v>
      </c>
      <c r="F245">
        <v>388</v>
      </c>
      <c r="G245" t="s">
        <v>14</v>
      </c>
      <c r="H245" t="s">
        <v>403</v>
      </c>
      <c r="I245" t="s">
        <v>404</v>
      </c>
      <c r="J245" t="s">
        <v>424</v>
      </c>
      <c r="K245">
        <v>0</v>
      </c>
      <c r="L245" s="1" t="s">
        <v>425</v>
      </c>
      <c r="M245" t="s">
        <v>594</v>
      </c>
      <c r="N245" s="1" t="s">
        <v>595</v>
      </c>
      <c r="O245">
        <v>0</v>
      </c>
      <c r="P245" t="s">
        <v>403</v>
      </c>
      <c r="Q245" t="s">
        <v>596</v>
      </c>
      <c r="R245" s="1" t="s">
        <v>597</v>
      </c>
      <c r="S245" s="1" t="s">
        <v>598</v>
      </c>
      <c r="T245" s="1" t="s">
        <v>599</v>
      </c>
      <c r="U245" s="1" t="s">
        <v>1592</v>
      </c>
      <c r="V245" s="1" t="s">
        <v>604</v>
      </c>
    </row>
    <row r="246" spans="1:22" x14ac:dyDescent="0.2">
      <c r="A246">
        <v>177</v>
      </c>
      <c r="B246" t="s">
        <v>371</v>
      </c>
      <c r="C246" t="s">
        <v>319</v>
      </c>
      <c r="D246" t="s">
        <v>1591</v>
      </c>
      <c r="E246" t="s">
        <v>1576</v>
      </c>
      <c r="F246">
        <v>388</v>
      </c>
      <c r="G246" t="s">
        <v>15</v>
      </c>
      <c r="H246" t="s">
        <v>423</v>
      </c>
      <c r="I246" t="s">
        <v>404</v>
      </c>
      <c r="J246" t="s">
        <v>424</v>
      </c>
      <c r="K246">
        <v>0</v>
      </c>
      <c r="L246" s="1" t="s">
        <v>425</v>
      </c>
      <c r="M246" t="s">
        <v>594</v>
      </c>
      <c r="N246" s="1" t="s">
        <v>595</v>
      </c>
      <c r="O246">
        <v>0</v>
      </c>
      <c r="P246" t="s">
        <v>423</v>
      </c>
      <c r="Q246" t="s">
        <v>596</v>
      </c>
      <c r="R246" s="1" t="s">
        <v>597</v>
      </c>
      <c r="S246" s="1" t="s">
        <v>598</v>
      </c>
      <c r="T246" s="1" t="s">
        <v>599</v>
      </c>
      <c r="U246" s="1" t="s">
        <v>1592</v>
      </c>
      <c r="V246" s="1" t="s">
        <v>604</v>
      </c>
    </row>
    <row r="247" spans="1:22" x14ac:dyDescent="0.2">
      <c r="A247">
        <v>177</v>
      </c>
      <c r="B247" t="s">
        <v>371</v>
      </c>
      <c r="C247" t="s">
        <v>319</v>
      </c>
      <c r="D247" t="s">
        <v>1591</v>
      </c>
      <c r="E247" t="s">
        <v>1576</v>
      </c>
      <c r="F247">
        <v>388</v>
      </c>
      <c r="G247" t="s">
        <v>16</v>
      </c>
      <c r="H247" t="s">
        <v>423</v>
      </c>
      <c r="I247" t="s">
        <v>404</v>
      </c>
      <c r="J247" t="s">
        <v>424</v>
      </c>
      <c r="K247">
        <v>0</v>
      </c>
      <c r="L247" s="1" t="s">
        <v>425</v>
      </c>
      <c r="M247" t="s">
        <v>594</v>
      </c>
      <c r="N247" s="1" t="s">
        <v>595</v>
      </c>
      <c r="O247">
        <v>0</v>
      </c>
      <c r="P247" t="s">
        <v>423</v>
      </c>
      <c r="Q247" t="s">
        <v>596</v>
      </c>
      <c r="R247" s="1" t="s">
        <v>597</v>
      </c>
      <c r="S247" s="1" t="s">
        <v>598</v>
      </c>
      <c r="T247" s="1" t="s">
        <v>599</v>
      </c>
      <c r="U247" s="1" t="s">
        <v>1592</v>
      </c>
      <c r="V247" s="1" t="s">
        <v>604</v>
      </c>
    </row>
    <row r="248" spans="1:22" x14ac:dyDescent="0.2">
      <c r="A248">
        <v>177</v>
      </c>
      <c r="B248" t="s">
        <v>371</v>
      </c>
      <c r="C248" t="s">
        <v>319</v>
      </c>
      <c r="D248" t="s">
        <v>1591</v>
      </c>
      <c r="E248" t="s">
        <v>1576</v>
      </c>
      <c r="F248">
        <v>388</v>
      </c>
      <c r="G248" t="s">
        <v>17</v>
      </c>
      <c r="H248" t="s">
        <v>423</v>
      </c>
      <c r="I248" t="s">
        <v>404</v>
      </c>
      <c r="J248" t="s">
        <v>424</v>
      </c>
      <c r="K248">
        <v>5.0000000000000001E-3</v>
      </c>
      <c r="L248" s="1" t="s">
        <v>425</v>
      </c>
      <c r="M248" t="s">
        <v>594</v>
      </c>
      <c r="N248" s="1" t="s">
        <v>595</v>
      </c>
      <c r="O248">
        <v>5.0000000000000001E-3</v>
      </c>
      <c r="P248" t="s">
        <v>423</v>
      </c>
      <c r="Q248" t="s">
        <v>596</v>
      </c>
      <c r="R248" s="1" t="s">
        <v>597</v>
      </c>
      <c r="S248" s="1" t="s">
        <v>598</v>
      </c>
      <c r="T248" s="1" t="s">
        <v>599</v>
      </c>
      <c r="U248" s="1" t="s">
        <v>1592</v>
      </c>
      <c r="V248" s="1" t="s">
        <v>606</v>
      </c>
    </row>
    <row r="249" spans="1:22" x14ac:dyDescent="0.2">
      <c r="A249">
        <v>177</v>
      </c>
      <c r="B249" t="s">
        <v>371</v>
      </c>
      <c r="C249" t="s">
        <v>319</v>
      </c>
      <c r="D249" t="s">
        <v>1591</v>
      </c>
      <c r="E249" t="s">
        <v>1576</v>
      </c>
      <c r="F249">
        <v>388</v>
      </c>
      <c r="G249" t="s">
        <v>18</v>
      </c>
      <c r="H249" t="s">
        <v>423</v>
      </c>
      <c r="I249" t="s">
        <v>404</v>
      </c>
      <c r="J249" t="s">
        <v>424</v>
      </c>
      <c r="K249">
        <v>0</v>
      </c>
      <c r="L249" s="1" t="s">
        <v>425</v>
      </c>
      <c r="M249" t="s">
        <v>594</v>
      </c>
      <c r="N249" s="1" t="s">
        <v>595</v>
      </c>
      <c r="O249">
        <v>0</v>
      </c>
      <c r="P249" t="s">
        <v>423</v>
      </c>
      <c r="Q249" t="s">
        <v>596</v>
      </c>
      <c r="R249" s="1" t="s">
        <v>597</v>
      </c>
      <c r="S249" s="1" t="s">
        <v>598</v>
      </c>
      <c r="T249" s="1" t="s">
        <v>599</v>
      </c>
      <c r="U249" s="1" t="s">
        <v>1592</v>
      </c>
      <c r="V249" s="1" t="s">
        <v>604</v>
      </c>
    </row>
    <row r="250" spans="1:22" x14ac:dyDescent="0.2">
      <c r="A250">
        <v>177</v>
      </c>
      <c r="B250" t="s">
        <v>371</v>
      </c>
      <c r="C250" t="s">
        <v>319</v>
      </c>
      <c r="D250" t="s">
        <v>1591</v>
      </c>
      <c r="E250" t="s">
        <v>1576</v>
      </c>
      <c r="F250">
        <v>388</v>
      </c>
      <c r="G250" t="s">
        <v>19</v>
      </c>
      <c r="H250" t="s">
        <v>423</v>
      </c>
      <c r="I250" t="s">
        <v>404</v>
      </c>
      <c r="J250" t="s">
        <v>424</v>
      </c>
      <c r="K250">
        <v>2.333333333333333</v>
      </c>
      <c r="L250" s="1" t="s">
        <v>425</v>
      </c>
      <c r="M250" t="s">
        <v>594</v>
      </c>
      <c r="N250" s="1" t="s">
        <v>595</v>
      </c>
      <c r="O250">
        <v>2.333333333333333</v>
      </c>
      <c r="P250" t="s">
        <v>423</v>
      </c>
      <c r="Q250" t="s">
        <v>596</v>
      </c>
      <c r="R250" s="1" t="s">
        <v>597</v>
      </c>
      <c r="S250" s="1" t="s">
        <v>598</v>
      </c>
      <c r="T250" s="1" t="s">
        <v>599</v>
      </c>
      <c r="U250" s="1" t="s">
        <v>1592</v>
      </c>
      <c r="V250" s="1" t="s">
        <v>607</v>
      </c>
    </row>
    <row r="251" spans="1:22" x14ac:dyDescent="0.2">
      <c r="A251">
        <v>177</v>
      </c>
      <c r="B251" t="s">
        <v>371</v>
      </c>
      <c r="C251" t="s">
        <v>319</v>
      </c>
      <c r="D251" t="s">
        <v>1591</v>
      </c>
      <c r="E251" t="s">
        <v>1576</v>
      </c>
      <c r="F251">
        <v>388</v>
      </c>
      <c r="G251" t="s">
        <v>20</v>
      </c>
      <c r="H251" t="s">
        <v>423</v>
      </c>
      <c r="I251" t="s">
        <v>404</v>
      </c>
      <c r="J251" t="s">
        <v>424</v>
      </c>
      <c r="K251">
        <v>4.333333333333334E-3</v>
      </c>
      <c r="L251" s="1" t="s">
        <v>425</v>
      </c>
      <c r="M251" t="s">
        <v>594</v>
      </c>
      <c r="N251" s="1" t="s">
        <v>595</v>
      </c>
      <c r="O251">
        <v>4.333333333333334E-3</v>
      </c>
      <c r="P251" t="s">
        <v>423</v>
      </c>
      <c r="Q251" t="s">
        <v>596</v>
      </c>
      <c r="R251" s="1" t="s">
        <v>597</v>
      </c>
      <c r="S251" s="1" t="s">
        <v>598</v>
      </c>
      <c r="T251" s="1" t="s">
        <v>599</v>
      </c>
      <c r="U251" s="1" t="s">
        <v>1592</v>
      </c>
      <c r="V251" s="1" t="s">
        <v>608</v>
      </c>
    </row>
    <row r="252" spans="1:22" x14ac:dyDescent="0.2">
      <c r="A252">
        <v>177</v>
      </c>
      <c r="B252" t="s">
        <v>371</v>
      </c>
      <c r="C252" t="s">
        <v>319</v>
      </c>
      <c r="D252" t="s">
        <v>1591</v>
      </c>
      <c r="E252" t="s">
        <v>1576</v>
      </c>
      <c r="F252">
        <v>388</v>
      </c>
      <c r="G252" t="s">
        <v>21</v>
      </c>
      <c r="H252" t="s">
        <v>423</v>
      </c>
      <c r="I252" t="s">
        <v>404</v>
      </c>
      <c r="J252" t="s">
        <v>424</v>
      </c>
      <c r="K252">
        <v>1.3333333333333331E-2</v>
      </c>
      <c r="L252" s="1" t="s">
        <v>425</v>
      </c>
      <c r="M252" t="s">
        <v>594</v>
      </c>
      <c r="N252" s="1" t="s">
        <v>595</v>
      </c>
      <c r="O252">
        <v>1.3333333333333331E-2</v>
      </c>
      <c r="P252" t="s">
        <v>423</v>
      </c>
      <c r="Q252" t="s">
        <v>596</v>
      </c>
      <c r="R252" s="1" t="s">
        <v>597</v>
      </c>
      <c r="S252" s="1" t="s">
        <v>598</v>
      </c>
      <c r="T252" s="1" t="s">
        <v>599</v>
      </c>
      <c r="U252" s="1" t="s">
        <v>1592</v>
      </c>
      <c r="V252" s="1" t="s">
        <v>609</v>
      </c>
    </row>
    <row r="253" spans="1:22" x14ac:dyDescent="0.2">
      <c r="A253">
        <v>177</v>
      </c>
      <c r="B253" t="s">
        <v>371</v>
      </c>
      <c r="C253" t="s">
        <v>319</v>
      </c>
      <c r="D253" t="s">
        <v>1591</v>
      </c>
      <c r="E253" t="s">
        <v>1576</v>
      </c>
      <c r="F253">
        <v>388</v>
      </c>
      <c r="G253" t="s">
        <v>22</v>
      </c>
      <c r="H253" t="s">
        <v>423</v>
      </c>
      <c r="I253" t="s">
        <v>404</v>
      </c>
      <c r="J253" t="s">
        <v>424</v>
      </c>
      <c r="K253">
        <v>3.333333333333333</v>
      </c>
      <c r="L253" s="1" t="s">
        <v>425</v>
      </c>
      <c r="M253" t="s">
        <v>594</v>
      </c>
      <c r="N253" s="1" t="s">
        <v>595</v>
      </c>
      <c r="O253">
        <v>3.333333333333333</v>
      </c>
      <c r="P253" t="s">
        <v>423</v>
      </c>
      <c r="Q253" t="s">
        <v>596</v>
      </c>
      <c r="R253" s="1" t="s">
        <v>597</v>
      </c>
      <c r="S253" s="1" t="s">
        <v>598</v>
      </c>
      <c r="T253" s="1" t="s">
        <v>599</v>
      </c>
      <c r="U253" s="1" t="s">
        <v>1592</v>
      </c>
      <c r="V253" s="1" t="s">
        <v>610</v>
      </c>
    </row>
    <row r="254" spans="1:22" x14ac:dyDescent="0.2">
      <c r="A254">
        <v>177</v>
      </c>
      <c r="B254" t="s">
        <v>371</v>
      </c>
      <c r="C254" t="s">
        <v>319</v>
      </c>
      <c r="D254" t="s">
        <v>1591</v>
      </c>
      <c r="E254" t="s">
        <v>1576</v>
      </c>
      <c r="F254">
        <v>388</v>
      </c>
      <c r="G254" t="s">
        <v>23</v>
      </c>
      <c r="H254" t="s">
        <v>423</v>
      </c>
      <c r="I254" t="s">
        <v>404</v>
      </c>
      <c r="J254" t="s">
        <v>424</v>
      </c>
      <c r="K254">
        <v>6.666666666666667</v>
      </c>
      <c r="L254" s="1" t="s">
        <v>425</v>
      </c>
      <c r="M254" t="s">
        <v>594</v>
      </c>
      <c r="N254" s="1" t="s">
        <v>595</v>
      </c>
      <c r="O254">
        <v>6.666666666666667</v>
      </c>
      <c r="P254" t="s">
        <v>423</v>
      </c>
      <c r="Q254" t="s">
        <v>596</v>
      </c>
      <c r="R254" s="1" t="s">
        <v>597</v>
      </c>
      <c r="S254" s="1" t="s">
        <v>598</v>
      </c>
      <c r="T254" s="1" t="s">
        <v>599</v>
      </c>
      <c r="U254" s="1" t="s">
        <v>1592</v>
      </c>
      <c r="V254" s="1" t="s">
        <v>611</v>
      </c>
    </row>
    <row r="255" spans="1:22" x14ac:dyDescent="0.2">
      <c r="A255">
        <v>177</v>
      </c>
      <c r="B255" t="s">
        <v>371</v>
      </c>
      <c r="C255" t="s">
        <v>319</v>
      </c>
      <c r="D255" t="s">
        <v>1591</v>
      </c>
      <c r="E255" t="s">
        <v>1576</v>
      </c>
      <c r="F255">
        <v>388</v>
      </c>
      <c r="G255" t="s">
        <v>24</v>
      </c>
      <c r="H255" t="s">
        <v>423</v>
      </c>
      <c r="I255" t="s">
        <v>404</v>
      </c>
      <c r="J255" t="s">
        <v>424</v>
      </c>
      <c r="K255">
        <v>5.333333333333333</v>
      </c>
      <c r="L255" s="1" t="s">
        <v>425</v>
      </c>
      <c r="M255" t="s">
        <v>594</v>
      </c>
      <c r="N255" s="1" t="s">
        <v>595</v>
      </c>
      <c r="O255">
        <v>5.333333333333333</v>
      </c>
      <c r="P255" t="s">
        <v>423</v>
      </c>
      <c r="Q255" t="s">
        <v>596</v>
      </c>
      <c r="R255" s="1" t="s">
        <v>597</v>
      </c>
      <c r="S255" s="1" t="s">
        <v>598</v>
      </c>
      <c r="T255" s="1" t="s">
        <v>599</v>
      </c>
      <c r="U255" s="1" t="s">
        <v>1592</v>
      </c>
      <c r="V255" s="1" t="s">
        <v>612</v>
      </c>
    </row>
    <row r="256" spans="1:22" x14ac:dyDescent="0.2">
      <c r="A256">
        <v>177</v>
      </c>
      <c r="B256" t="s">
        <v>371</v>
      </c>
      <c r="C256" t="s">
        <v>319</v>
      </c>
      <c r="D256" t="s">
        <v>1591</v>
      </c>
      <c r="E256" t="s">
        <v>1576</v>
      </c>
      <c r="F256">
        <v>388</v>
      </c>
      <c r="G256" t="s">
        <v>25</v>
      </c>
      <c r="H256" t="s">
        <v>423</v>
      </c>
      <c r="I256" t="s">
        <v>404</v>
      </c>
      <c r="J256" t="s">
        <v>424</v>
      </c>
      <c r="K256">
        <v>3.666666666666666E-2</v>
      </c>
      <c r="L256" s="1" t="s">
        <v>425</v>
      </c>
      <c r="M256" t="s">
        <v>594</v>
      </c>
      <c r="N256" s="1" t="s">
        <v>595</v>
      </c>
      <c r="O256">
        <v>3.666666666666666E-2</v>
      </c>
      <c r="P256" t="s">
        <v>423</v>
      </c>
      <c r="Q256" t="s">
        <v>596</v>
      </c>
      <c r="R256" s="1" t="s">
        <v>597</v>
      </c>
      <c r="S256" s="1" t="s">
        <v>598</v>
      </c>
      <c r="T256" s="1" t="s">
        <v>599</v>
      </c>
      <c r="U256" s="1" t="s">
        <v>1592</v>
      </c>
      <c r="V256" s="1" t="s">
        <v>613</v>
      </c>
    </row>
    <row r="257" spans="1:22" x14ac:dyDescent="0.2">
      <c r="A257" s="1">
        <v>178</v>
      </c>
      <c r="B257" s="1" t="s">
        <v>373</v>
      </c>
      <c r="C257" s="1" t="s">
        <v>319</v>
      </c>
      <c r="D257" s="1" t="s">
        <v>374</v>
      </c>
      <c r="E257" s="1" t="s">
        <v>614</v>
      </c>
      <c r="F257" s="1">
        <v>364</v>
      </c>
      <c r="G257" s="1" t="s">
        <v>14</v>
      </c>
      <c r="H257" s="1" t="s">
        <v>403</v>
      </c>
      <c r="I257" s="1" t="s">
        <v>404</v>
      </c>
      <c r="J257" s="1" t="s">
        <v>424</v>
      </c>
      <c r="K257" s="1">
        <v>0</v>
      </c>
      <c r="L257" s="1" t="s">
        <v>425</v>
      </c>
      <c r="M257" s="1" t="s">
        <v>615</v>
      </c>
      <c r="N257" s="1" t="s">
        <v>616</v>
      </c>
      <c r="O257" s="1">
        <v>0</v>
      </c>
      <c r="P257" s="1" t="s">
        <v>403</v>
      </c>
      <c r="Q257" s="1" t="s">
        <v>617</v>
      </c>
      <c r="R257" s="1" t="s">
        <v>618</v>
      </c>
      <c r="S257" s="1" t="s">
        <v>619</v>
      </c>
      <c r="T257" s="1" t="s">
        <v>406</v>
      </c>
      <c r="U257" s="1" t="s">
        <v>620</v>
      </c>
      <c r="V257" s="1" t="s">
        <v>621</v>
      </c>
    </row>
    <row r="258" spans="1:22" x14ac:dyDescent="0.2">
      <c r="A258" s="1">
        <v>178</v>
      </c>
      <c r="B258" s="1" t="s">
        <v>373</v>
      </c>
      <c r="C258" s="1" t="s">
        <v>319</v>
      </c>
      <c r="D258" s="1" t="s">
        <v>374</v>
      </c>
      <c r="E258" s="1" t="s">
        <v>614</v>
      </c>
      <c r="F258" s="1">
        <v>364</v>
      </c>
      <c r="G258" s="1" t="s">
        <v>20</v>
      </c>
      <c r="H258" s="1" t="s">
        <v>423</v>
      </c>
      <c r="I258" s="1" t="s">
        <v>404</v>
      </c>
      <c r="J258" s="1" t="s">
        <v>424</v>
      </c>
      <c r="K258" s="1">
        <v>6.4999999999999997E-3</v>
      </c>
      <c r="L258" s="1" t="s">
        <v>425</v>
      </c>
      <c r="M258" s="1" t="s">
        <v>615</v>
      </c>
      <c r="N258" s="1" t="s">
        <v>616</v>
      </c>
      <c r="O258" s="1">
        <v>6.4999999999999997E-3</v>
      </c>
      <c r="P258" s="1" t="s">
        <v>423</v>
      </c>
      <c r="Q258" s="1" t="s">
        <v>617</v>
      </c>
      <c r="R258" s="1" t="s">
        <v>618</v>
      </c>
      <c r="S258" s="1" t="s">
        <v>619</v>
      </c>
      <c r="T258" s="1" t="s">
        <v>406</v>
      </c>
      <c r="U258" s="1" t="s">
        <v>620</v>
      </c>
      <c r="V258" s="1" t="s">
        <v>622</v>
      </c>
    </row>
    <row r="259" spans="1:22" ht="16" customHeight="1" x14ac:dyDescent="0.2">
      <c r="A259">
        <v>178</v>
      </c>
      <c r="B259" t="s">
        <v>373</v>
      </c>
      <c r="C259" t="s">
        <v>319</v>
      </c>
      <c r="D259" t="s">
        <v>374</v>
      </c>
      <c r="E259" t="s">
        <v>614</v>
      </c>
      <c r="F259">
        <v>364</v>
      </c>
      <c r="G259" t="s">
        <v>9</v>
      </c>
      <c r="H259" t="s">
        <v>415</v>
      </c>
      <c r="I259" t="s">
        <v>404</v>
      </c>
      <c r="J259" t="s">
        <v>405</v>
      </c>
      <c r="K259">
        <v>0</v>
      </c>
      <c r="L259" s="11" t="s">
        <v>406</v>
      </c>
      <c r="M259" t="s">
        <v>416</v>
      </c>
      <c r="N259" s="11" t="s">
        <v>417</v>
      </c>
      <c r="O259" t="s">
        <v>418</v>
      </c>
      <c r="P259" t="s">
        <v>415</v>
      </c>
      <c r="Q259">
        <v>1</v>
      </c>
      <c r="R259" s="11" t="s">
        <v>406</v>
      </c>
      <c r="S259" s="11" t="s">
        <v>406</v>
      </c>
      <c r="T259" s="11" t="s">
        <v>406</v>
      </c>
      <c r="U259" s="11" t="s">
        <v>419</v>
      </c>
      <c r="V259" s="11" t="s">
        <v>420</v>
      </c>
    </row>
    <row r="260" spans="1:22" x14ac:dyDescent="0.2">
      <c r="A260" s="1">
        <v>179</v>
      </c>
      <c r="B260" s="1" t="s">
        <v>376</v>
      </c>
      <c r="C260" s="1" t="s">
        <v>319</v>
      </c>
      <c r="D260" s="1" t="s">
        <v>374</v>
      </c>
      <c r="E260" s="1" t="s">
        <v>623</v>
      </c>
      <c r="F260" s="1">
        <v>930</v>
      </c>
      <c r="G260" s="1" t="s">
        <v>20</v>
      </c>
      <c r="H260" s="1" t="s">
        <v>423</v>
      </c>
      <c r="I260" s="1" t="s">
        <v>404</v>
      </c>
      <c r="J260" s="1" t="s">
        <v>424</v>
      </c>
      <c r="K260" s="1">
        <v>3.3500000000000002E-2</v>
      </c>
      <c r="L260" s="1" t="s">
        <v>425</v>
      </c>
      <c r="M260" s="1" t="s">
        <v>624</v>
      </c>
      <c r="N260" s="1" t="s">
        <v>625</v>
      </c>
      <c r="O260" s="1">
        <v>3.3500000000000002E-2</v>
      </c>
      <c r="P260" s="1" t="s">
        <v>423</v>
      </c>
      <c r="Q260" s="1" t="s">
        <v>617</v>
      </c>
      <c r="R260" s="1" t="s">
        <v>626</v>
      </c>
      <c r="S260" s="1" t="s">
        <v>627</v>
      </c>
      <c r="T260" s="1" t="s">
        <v>406</v>
      </c>
      <c r="U260" s="1" t="s">
        <v>620</v>
      </c>
      <c r="V260" s="1" t="s">
        <v>628</v>
      </c>
    </row>
    <row r="261" spans="1:22" x14ac:dyDescent="0.2">
      <c r="A261" s="1">
        <v>179</v>
      </c>
      <c r="B261" s="1" t="s">
        <v>376</v>
      </c>
      <c r="C261" s="1" t="s">
        <v>319</v>
      </c>
      <c r="D261" s="1" t="s">
        <v>374</v>
      </c>
      <c r="E261" s="1" t="s">
        <v>623</v>
      </c>
      <c r="F261" s="1">
        <v>930</v>
      </c>
      <c r="G261" s="1" t="s">
        <v>25</v>
      </c>
      <c r="H261" s="1" t="s">
        <v>423</v>
      </c>
      <c r="I261" s="1" t="s">
        <v>404</v>
      </c>
      <c r="J261" s="1" t="s">
        <v>424</v>
      </c>
      <c r="K261" s="1">
        <v>0.33500000000000002</v>
      </c>
      <c r="L261" s="1" t="s">
        <v>425</v>
      </c>
      <c r="M261" s="1" t="s">
        <v>624</v>
      </c>
      <c r="N261" s="1" t="s">
        <v>625</v>
      </c>
      <c r="O261" s="1">
        <v>0.33500000000000002</v>
      </c>
      <c r="P261" s="1" t="s">
        <v>423</v>
      </c>
      <c r="Q261" s="1" t="s">
        <v>617</v>
      </c>
      <c r="R261" s="1" t="s">
        <v>626</v>
      </c>
      <c r="S261" s="1" t="s">
        <v>627</v>
      </c>
      <c r="T261" s="1" t="s">
        <v>406</v>
      </c>
      <c r="U261" s="1" t="s">
        <v>620</v>
      </c>
      <c r="V261" s="1" t="s">
        <v>629</v>
      </c>
    </row>
    <row r="262" spans="1:22" ht="16" customHeight="1" x14ac:dyDescent="0.2">
      <c r="A262">
        <v>179</v>
      </c>
      <c r="B262" t="s">
        <v>376</v>
      </c>
      <c r="C262" t="s">
        <v>319</v>
      </c>
      <c r="D262" t="s">
        <v>374</v>
      </c>
      <c r="E262" t="s">
        <v>623</v>
      </c>
      <c r="F262">
        <v>930</v>
      </c>
      <c r="G262" t="s">
        <v>9</v>
      </c>
      <c r="H262" t="s">
        <v>415</v>
      </c>
      <c r="I262" t="s">
        <v>404</v>
      </c>
      <c r="J262" t="s">
        <v>405</v>
      </c>
      <c r="K262">
        <v>0</v>
      </c>
      <c r="L262" s="11" t="s">
        <v>406</v>
      </c>
      <c r="M262" t="s">
        <v>416</v>
      </c>
      <c r="N262" s="11" t="s">
        <v>417</v>
      </c>
      <c r="O262" t="s">
        <v>418</v>
      </c>
      <c r="P262" t="s">
        <v>415</v>
      </c>
      <c r="Q262">
        <v>1</v>
      </c>
      <c r="R262" s="11" t="s">
        <v>406</v>
      </c>
      <c r="S262" s="11" t="s">
        <v>406</v>
      </c>
      <c r="T262" s="11" t="s">
        <v>406</v>
      </c>
      <c r="U262" s="11" t="s">
        <v>419</v>
      </c>
      <c r="V262" s="11" t="s">
        <v>420</v>
      </c>
    </row>
    <row r="263" spans="1:22" x14ac:dyDescent="0.2">
      <c r="A263">
        <v>87</v>
      </c>
      <c r="B263" t="s">
        <v>195</v>
      </c>
      <c r="C263" t="s">
        <v>165</v>
      </c>
      <c r="D263" t="s">
        <v>31</v>
      </c>
      <c r="E263" t="s">
        <v>630</v>
      </c>
      <c r="F263">
        <v>248</v>
      </c>
      <c r="G263" t="s">
        <v>6</v>
      </c>
      <c r="H263" t="s">
        <v>493</v>
      </c>
      <c r="I263" t="s">
        <v>404</v>
      </c>
      <c r="J263" t="s">
        <v>580</v>
      </c>
      <c r="K263">
        <v>47.06</v>
      </c>
      <c r="L263" s="1" t="s">
        <v>631</v>
      </c>
      <c r="M263" t="s">
        <v>632</v>
      </c>
      <c r="N263" s="1" t="s">
        <v>633</v>
      </c>
      <c r="O263">
        <v>47.06</v>
      </c>
      <c r="P263" t="s">
        <v>493</v>
      </c>
      <c r="Q263" t="s">
        <v>634</v>
      </c>
      <c r="R263" s="1" t="s">
        <v>465</v>
      </c>
      <c r="S263" s="1" t="s">
        <v>406</v>
      </c>
      <c r="T263" s="1" t="s">
        <v>406</v>
      </c>
      <c r="U263" s="1" t="s">
        <v>635</v>
      </c>
      <c r="V263" s="1" t="s">
        <v>636</v>
      </c>
    </row>
    <row r="264" spans="1:22" x14ac:dyDescent="0.2">
      <c r="A264">
        <v>87</v>
      </c>
      <c r="B264" t="s">
        <v>195</v>
      </c>
      <c r="C264" t="s">
        <v>165</v>
      </c>
      <c r="D264" t="s">
        <v>31</v>
      </c>
      <c r="E264" t="s">
        <v>630</v>
      </c>
      <c r="F264">
        <v>248</v>
      </c>
      <c r="G264" t="s">
        <v>7</v>
      </c>
      <c r="H264" t="s">
        <v>415</v>
      </c>
      <c r="I264" t="s">
        <v>404</v>
      </c>
      <c r="J264" t="s">
        <v>580</v>
      </c>
      <c r="K264">
        <v>1.915</v>
      </c>
      <c r="L264" s="1" t="s">
        <v>631</v>
      </c>
      <c r="M264" t="s">
        <v>632</v>
      </c>
      <c r="N264" s="1" t="s">
        <v>637</v>
      </c>
      <c r="O264">
        <v>1.915</v>
      </c>
      <c r="P264" t="s">
        <v>415</v>
      </c>
      <c r="Q264" t="s">
        <v>634</v>
      </c>
      <c r="R264" s="1" t="s">
        <v>465</v>
      </c>
      <c r="S264" s="1" t="s">
        <v>406</v>
      </c>
      <c r="T264" s="1" t="s">
        <v>406</v>
      </c>
      <c r="U264" s="1" t="s">
        <v>635</v>
      </c>
      <c r="V264" s="1" t="s">
        <v>638</v>
      </c>
    </row>
    <row r="265" spans="1:22" x14ac:dyDescent="0.2">
      <c r="A265">
        <v>87</v>
      </c>
      <c r="B265" t="s">
        <v>195</v>
      </c>
      <c r="C265" t="s">
        <v>165</v>
      </c>
      <c r="D265" t="s">
        <v>31</v>
      </c>
      <c r="E265" t="s">
        <v>630</v>
      </c>
      <c r="F265">
        <v>248</v>
      </c>
      <c r="G265" t="s">
        <v>8</v>
      </c>
      <c r="H265" t="s">
        <v>415</v>
      </c>
      <c r="I265" t="s">
        <v>404</v>
      </c>
      <c r="J265" t="s">
        <v>580</v>
      </c>
      <c r="K265">
        <v>0.97000000000000008</v>
      </c>
      <c r="L265" s="1" t="s">
        <v>631</v>
      </c>
      <c r="M265" t="s">
        <v>632</v>
      </c>
      <c r="N265" s="1" t="s">
        <v>639</v>
      </c>
      <c r="O265">
        <v>0.97000000000000008</v>
      </c>
      <c r="P265" t="s">
        <v>415</v>
      </c>
      <c r="Q265" t="s">
        <v>634</v>
      </c>
      <c r="R265" s="1" t="s">
        <v>465</v>
      </c>
      <c r="S265" s="1" t="s">
        <v>406</v>
      </c>
      <c r="T265" s="1" t="s">
        <v>406</v>
      </c>
      <c r="U265" s="1" t="s">
        <v>635</v>
      </c>
      <c r="V265" s="1" t="s">
        <v>640</v>
      </c>
    </row>
    <row r="266" spans="1:22" ht="16" customHeight="1" x14ac:dyDescent="0.2">
      <c r="A266">
        <v>87</v>
      </c>
      <c r="B266" t="s">
        <v>195</v>
      </c>
      <c r="C266" t="s">
        <v>165</v>
      </c>
      <c r="D266" t="s">
        <v>31</v>
      </c>
      <c r="E266" t="s">
        <v>630</v>
      </c>
      <c r="F266">
        <v>248</v>
      </c>
      <c r="G266" t="s">
        <v>9</v>
      </c>
      <c r="H266" t="s">
        <v>415</v>
      </c>
      <c r="I266" t="s">
        <v>404</v>
      </c>
      <c r="J266" t="s">
        <v>405</v>
      </c>
      <c r="K266">
        <v>0</v>
      </c>
      <c r="L266" s="11" t="s">
        <v>406</v>
      </c>
      <c r="M266" t="s">
        <v>416</v>
      </c>
      <c r="N266" s="11" t="s">
        <v>417</v>
      </c>
      <c r="O266" t="s">
        <v>418</v>
      </c>
      <c r="P266" t="s">
        <v>415</v>
      </c>
      <c r="Q266">
        <v>1</v>
      </c>
      <c r="R266" s="11" t="s">
        <v>406</v>
      </c>
      <c r="S266" s="11" t="s">
        <v>406</v>
      </c>
      <c r="T266" s="11" t="s">
        <v>406</v>
      </c>
      <c r="U266" s="11" t="s">
        <v>419</v>
      </c>
      <c r="V266" s="11" t="s">
        <v>420</v>
      </c>
    </row>
    <row r="267" spans="1:22" x14ac:dyDescent="0.2">
      <c r="A267">
        <v>87</v>
      </c>
      <c r="B267" t="s">
        <v>195</v>
      </c>
      <c r="C267" t="s">
        <v>165</v>
      </c>
      <c r="D267" t="s">
        <v>31</v>
      </c>
      <c r="E267" t="s">
        <v>630</v>
      </c>
      <c r="F267">
        <v>248</v>
      </c>
      <c r="G267" t="s">
        <v>10</v>
      </c>
      <c r="H267" t="s">
        <v>415</v>
      </c>
      <c r="I267" t="s">
        <v>404</v>
      </c>
      <c r="J267" t="s">
        <v>580</v>
      </c>
      <c r="K267">
        <v>8.4769999999999985</v>
      </c>
      <c r="L267" s="1" t="s">
        <v>631</v>
      </c>
      <c r="M267" t="s">
        <v>632</v>
      </c>
      <c r="N267" s="1" t="s">
        <v>641</v>
      </c>
      <c r="O267">
        <v>8.4769999999999985</v>
      </c>
      <c r="P267" t="s">
        <v>415</v>
      </c>
      <c r="Q267" t="s">
        <v>634</v>
      </c>
      <c r="R267" s="1" t="s">
        <v>465</v>
      </c>
      <c r="S267" s="1" t="s">
        <v>406</v>
      </c>
      <c r="T267" s="1" t="s">
        <v>406</v>
      </c>
      <c r="U267" s="1" t="s">
        <v>635</v>
      </c>
      <c r="V267" s="1" t="s">
        <v>642</v>
      </c>
    </row>
    <row r="268" spans="1:22" x14ac:dyDescent="0.2">
      <c r="A268">
        <v>87</v>
      </c>
      <c r="B268" t="s">
        <v>195</v>
      </c>
      <c r="C268" t="s">
        <v>165</v>
      </c>
      <c r="D268" t="s">
        <v>31</v>
      </c>
      <c r="E268" t="s">
        <v>630</v>
      </c>
      <c r="F268">
        <v>248</v>
      </c>
      <c r="G268" t="s">
        <v>11</v>
      </c>
      <c r="H268" t="s">
        <v>415</v>
      </c>
      <c r="I268" t="s">
        <v>404</v>
      </c>
      <c r="J268" t="s">
        <v>580</v>
      </c>
      <c r="K268">
        <v>1.7949999999999999</v>
      </c>
      <c r="L268" s="1" t="s">
        <v>631</v>
      </c>
      <c r="M268" t="s">
        <v>632</v>
      </c>
      <c r="N268" s="1" t="s">
        <v>643</v>
      </c>
      <c r="O268">
        <v>1.7949999999999999</v>
      </c>
      <c r="P268" t="s">
        <v>415</v>
      </c>
      <c r="Q268" t="s">
        <v>634</v>
      </c>
      <c r="R268" s="1" t="s">
        <v>465</v>
      </c>
      <c r="S268" s="1" t="s">
        <v>406</v>
      </c>
      <c r="T268" s="1" t="s">
        <v>406</v>
      </c>
      <c r="U268" s="1" t="s">
        <v>635</v>
      </c>
      <c r="V268" s="1" t="s">
        <v>644</v>
      </c>
    </row>
    <row r="269" spans="1:22" x14ac:dyDescent="0.2">
      <c r="A269">
        <v>87</v>
      </c>
      <c r="B269" t="s">
        <v>195</v>
      </c>
      <c r="C269" t="s">
        <v>165</v>
      </c>
      <c r="D269" t="s">
        <v>31</v>
      </c>
      <c r="E269" t="s">
        <v>630</v>
      </c>
      <c r="F269">
        <v>248</v>
      </c>
      <c r="G269" t="s">
        <v>12</v>
      </c>
      <c r="H269" t="s">
        <v>415</v>
      </c>
      <c r="I269" t="s">
        <v>404</v>
      </c>
      <c r="J269" t="s">
        <v>580</v>
      </c>
      <c r="K269">
        <v>1.099</v>
      </c>
      <c r="L269" s="1" t="s">
        <v>631</v>
      </c>
      <c r="M269" t="s">
        <v>632</v>
      </c>
      <c r="N269" s="1" t="s">
        <v>645</v>
      </c>
      <c r="O269">
        <v>1.099</v>
      </c>
      <c r="P269" t="s">
        <v>415</v>
      </c>
      <c r="Q269" t="s">
        <v>634</v>
      </c>
      <c r="R269" s="1" t="s">
        <v>465</v>
      </c>
      <c r="S269" s="1" t="s">
        <v>406</v>
      </c>
      <c r="T269" s="1" t="s">
        <v>406</v>
      </c>
      <c r="U269" s="1" t="s">
        <v>635</v>
      </c>
      <c r="V269" s="1" t="s">
        <v>646</v>
      </c>
    </row>
    <row r="270" spans="1:22" x14ac:dyDescent="0.2">
      <c r="A270">
        <v>87</v>
      </c>
      <c r="B270" t="s">
        <v>195</v>
      </c>
      <c r="C270" t="s">
        <v>165</v>
      </c>
      <c r="D270" t="s">
        <v>31</v>
      </c>
      <c r="E270" t="s">
        <v>630</v>
      </c>
      <c r="F270">
        <v>248</v>
      </c>
      <c r="G270" t="s">
        <v>13</v>
      </c>
      <c r="H270" t="s">
        <v>403</v>
      </c>
      <c r="I270" t="s">
        <v>404</v>
      </c>
      <c r="J270" t="s">
        <v>580</v>
      </c>
      <c r="K270">
        <v>0</v>
      </c>
      <c r="L270" s="1" t="s">
        <v>631</v>
      </c>
      <c r="M270" t="s">
        <v>632</v>
      </c>
      <c r="N270" s="1" t="s">
        <v>647</v>
      </c>
      <c r="O270">
        <v>0</v>
      </c>
      <c r="P270" t="s">
        <v>403</v>
      </c>
      <c r="Q270" t="s">
        <v>634</v>
      </c>
      <c r="R270" s="1" t="s">
        <v>465</v>
      </c>
      <c r="S270" s="1" t="s">
        <v>406</v>
      </c>
      <c r="T270" s="1" t="s">
        <v>406</v>
      </c>
      <c r="U270" s="1" t="s">
        <v>635</v>
      </c>
      <c r="V270" s="1" t="s">
        <v>648</v>
      </c>
    </row>
    <row r="271" spans="1:22" x14ac:dyDescent="0.2">
      <c r="A271">
        <v>87</v>
      </c>
      <c r="B271" t="s">
        <v>195</v>
      </c>
      <c r="C271" t="s">
        <v>165</v>
      </c>
      <c r="D271" t="s">
        <v>31</v>
      </c>
      <c r="E271" t="s">
        <v>630</v>
      </c>
      <c r="F271">
        <v>248</v>
      </c>
      <c r="G271" t="s">
        <v>14</v>
      </c>
      <c r="H271" t="s">
        <v>403</v>
      </c>
      <c r="I271" t="s">
        <v>404</v>
      </c>
      <c r="J271" t="s">
        <v>580</v>
      </c>
      <c r="K271">
        <v>3775.3900000000008</v>
      </c>
      <c r="L271" s="1" t="s">
        <v>631</v>
      </c>
      <c r="M271" t="s">
        <v>632</v>
      </c>
      <c r="N271" s="1" t="s">
        <v>649</v>
      </c>
      <c r="O271">
        <v>3775.3900000000008</v>
      </c>
      <c r="P271" t="s">
        <v>403</v>
      </c>
      <c r="Q271" t="s">
        <v>634</v>
      </c>
      <c r="R271" s="1" t="s">
        <v>465</v>
      </c>
      <c r="S271" s="1" t="s">
        <v>406</v>
      </c>
      <c r="T271" s="1" t="s">
        <v>406</v>
      </c>
      <c r="U271" s="1" t="s">
        <v>429</v>
      </c>
      <c r="V271" s="1" t="s">
        <v>650</v>
      </c>
    </row>
    <row r="272" spans="1:22" x14ac:dyDescent="0.2">
      <c r="A272">
        <v>87</v>
      </c>
      <c r="B272" t="s">
        <v>195</v>
      </c>
      <c r="C272" t="s">
        <v>165</v>
      </c>
      <c r="D272" t="s">
        <v>31</v>
      </c>
      <c r="E272" t="s">
        <v>630</v>
      </c>
      <c r="F272">
        <v>248</v>
      </c>
      <c r="G272" t="s">
        <v>15</v>
      </c>
      <c r="H272" t="s">
        <v>423</v>
      </c>
      <c r="I272" t="s">
        <v>404</v>
      </c>
      <c r="J272" t="s">
        <v>580</v>
      </c>
      <c r="K272">
        <v>0.14319999999999999</v>
      </c>
      <c r="L272" s="1" t="s">
        <v>631</v>
      </c>
      <c r="M272" t="s">
        <v>632</v>
      </c>
      <c r="N272" s="1" t="s">
        <v>651</v>
      </c>
      <c r="O272">
        <v>0.14319999999999999</v>
      </c>
      <c r="P272" t="s">
        <v>423</v>
      </c>
      <c r="Q272" t="s">
        <v>634</v>
      </c>
      <c r="R272" s="1" t="s">
        <v>465</v>
      </c>
      <c r="S272" s="1" t="s">
        <v>406</v>
      </c>
      <c r="T272" s="1" t="s">
        <v>406</v>
      </c>
      <c r="U272" s="1" t="s">
        <v>635</v>
      </c>
      <c r="V272" s="1" t="s">
        <v>652</v>
      </c>
    </row>
    <row r="273" spans="1:22" x14ac:dyDescent="0.2">
      <c r="A273">
        <v>87</v>
      </c>
      <c r="B273" t="s">
        <v>195</v>
      </c>
      <c r="C273" t="s">
        <v>165</v>
      </c>
      <c r="D273" t="s">
        <v>31</v>
      </c>
      <c r="E273" t="s">
        <v>630</v>
      </c>
      <c r="F273">
        <v>248</v>
      </c>
      <c r="G273" t="s">
        <v>16</v>
      </c>
      <c r="H273" t="s">
        <v>423</v>
      </c>
      <c r="I273" t="s">
        <v>404</v>
      </c>
      <c r="J273" t="s">
        <v>580</v>
      </c>
      <c r="K273">
        <v>0.13389999999999999</v>
      </c>
      <c r="L273" s="1" t="s">
        <v>631</v>
      </c>
      <c r="M273" t="s">
        <v>632</v>
      </c>
      <c r="N273" s="1" t="s">
        <v>653</v>
      </c>
      <c r="O273">
        <v>0.13389999999999999</v>
      </c>
      <c r="P273" t="s">
        <v>423</v>
      </c>
      <c r="Q273" t="s">
        <v>634</v>
      </c>
      <c r="R273" s="1" t="s">
        <v>465</v>
      </c>
      <c r="S273" s="1" t="s">
        <v>406</v>
      </c>
      <c r="T273" s="1" t="s">
        <v>406</v>
      </c>
      <c r="U273" s="1" t="s">
        <v>429</v>
      </c>
      <c r="V273" s="1" t="s">
        <v>650</v>
      </c>
    </row>
    <row r="274" spans="1:22" x14ac:dyDescent="0.2">
      <c r="A274">
        <v>87</v>
      </c>
      <c r="B274" t="s">
        <v>195</v>
      </c>
      <c r="C274" t="s">
        <v>165</v>
      </c>
      <c r="D274" t="s">
        <v>31</v>
      </c>
      <c r="E274" t="s">
        <v>630</v>
      </c>
      <c r="F274">
        <v>248</v>
      </c>
      <c r="G274" t="s">
        <v>17</v>
      </c>
      <c r="H274" t="s">
        <v>423</v>
      </c>
      <c r="I274" t="s">
        <v>404</v>
      </c>
      <c r="J274" t="s">
        <v>580</v>
      </c>
      <c r="K274">
        <v>0.95000000000000007</v>
      </c>
      <c r="L274" s="1" t="s">
        <v>631</v>
      </c>
      <c r="M274" t="s">
        <v>632</v>
      </c>
      <c r="N274" s="1" t="s">
        <v>654</v>
      </c>
      <c r="O274">
        <v>0.95000000000000007</v>
      </c>
      <c r="P274" t="s">
        <v>423</v>
      </c>
      <c r="Q274" t="s">
        <v>634</v>
      </c>
      <c r="R274" s="1" t="s">
        <v>465</v>
      </c>
      <c r="S274" s="1" t="s">
        <v>406</v>
      </c>
      <c r="T274" s="1" t="s">
        <v>406</v>
      </c>
      <c r="U274" s="1" t="s">
        <v>429</v>
      </c>
      <c r="V274" s="1" t="s">
        <v>650</v>
      </c>
    </row>
    <row r="275" spans="1:22" x14ac:dyDescent="0.2">
      <c r="A275">
        <v>87</v>
      </c>
      <c r="B275" t="s">
        <v>195</v>
      </c>
      <c r="C275" t="s">
        <v>165</v>
      </c>
      <c r="D275" t="s">
        <v>31</v>
      </c>
      <c r="E275" t="s">
        <v>630</v>
      </c>
      <c r="F275">
        <v>248</v>
      </c>
      <c r="G275" t="s">
        <v>18</v>
      </c>
      <c r="H275" t="s">
        <v>423</v>
      </c>
      <c r="I275" t="s">
        <v>404</v>
      </c>
      <c r="J275" t="s">
        <v>580</v>
      </c>
      <c r="K275">
        <v>14.19</v>
      </c>
      <c r="L275" s="1" t="s">
        <v>631</v>
      </c>
      <c r="M275" t="s">
        <v>632</v>
      </c>
      <c r="N275" s="1" t="s">
        <v>655</v>
      </c>
      <c r="O275">
        <v>14.19</v>
      </c>
      <c r="P275" t="s">
        <v>423</v>
      </c>
      <c r="Q275" t="s">
        <v>634</v>
      </c>
      <c r="R275" s="1" t="s">
        <v>465</v>
      </c>
      <c r="S275" s="1" t="s">
        <v>406</v>
      </c>
      <c r="T275" s="1" t="s">
        <v>406</v>
      </c>
      <c r="U275" s="1" t="s">
        <v>635</v>
      </c>
      <c r="V275" s="1" t="s">
        <v>656</v>
      </c>
    </row>
    <row r="276" spans="1:22" x14ac:dyDescent="0.2">
      <c r="A276">
        <v>87</v>
      </c>
      <c r="B276" t="s">
        <v>195</v>
      </c>
      <c r="C276" t="s">
        <v>165</v>
      </c>
      <c r="D276" t="s">
        <v>31</v>
      </c>
      <c r="E276" t="s">
        <v>630</v>
      </c>
      <c r="F276">
        <v>248</v>
      </c>
      <c r="G276" t="s">
        <v>19</v>
      </c>
      <c r="H276" t="s">
        <v>423</v>
      </c>
      <c r="I276" t="s">
        <v>404</v>
      </c>
      <c r="J276" t="s">
        <v>580</v>
      </c>
      <c r="K276">
        <v>75.949999999999989</v>
      </c>
      <c r="L276" s="1" t="s">
        <v>631</v>
      </c>
      <c r="M276" t="s">
        <v>632</v>
      </c>
      <c r="N276" s="1" t="s">
        <v>657</v>
      </c>
      <c r="O276">
        <v>75.949999999999989</v>
      </c>
      <c r="P276" t="s">
        <v>423</v>
      </c>
      <c r="Q276" t="s">
        <v>634</v>
      </c>
      <c r="R276" s="1" t="s">
        <v>465</v>
      </c>
      <c r="S276" s="1" t="s">
        <v>406</v>
      </c>
      <c r="T276" s="1" t="s">
        <v>406</v>
      </c>
      <c r="U276" s="1" t="s">
        <v>635</v>
      </c>
      <c r="V276" s="1" t="s">
        <v>658</v>
      </c>
    </row>
    <row r="277" spans="1:22" x14ac:dyDescent="0.2">
      <c r="A277">
        <v>87</v>
      </c>
      <c r="B277" t="s">
        <v>195</v>
      </c>
      <c r="C277" t="s">
        <v>165</v>
      </c>
      <c r="D277" t="s">
        <v>31</v>
      </c>
      <c r="E277" t="s">
        <v>630</v>
      </c>
      <c r="F277">
        <v>248</v>
      </c>
      <c r="G277" t="s">
        <v>20</v>
      </c>
      <c r="H277" t="s">
        <v>423</v>
      </c>
      <c r="I277" t="s">
        <v>404</v>
      </c>
      <c r="J277" t="s">
        <v>580</v>
      </c>
      <c r="K277">
        <v>0.32460000000000011</v>
      </c>
      <c r="L277" s="1" t="s">
        <v>631</v>
      </c>
      <c r="M277" t="s">
        <v>632</v>
      </c>
      <c r="N277" s="1" t="s">
        <v>659</v>
      </c>
      <c r="O277">
        <v>0.32460000000000011</v>
      </c>
      <c r="P277" t="s">
        <v>423</v>
      </c>
      <c r="Q277" t="s">
        <v>634</v>
      </c>
      <c r="R277" s="1" t="s">
        <v>465</v>
      </c>
      <c r="S277" s="1" t="s">
        <v>406</v>
      </c>
      <c r="T277" s="1" t="s">
        <v>406</v>
      </c>
      <c r="U277" s="1" t="s">
        <v>429</v>
      </c>
      <c r="V277" s="1" t="s">
        <v>650</v>
      </c>
    </row>
    <row r="278" spans="1:22" x14ac:dyDescent="0.2">
      <c r="A278">
        <v>87</v>
      </c>
      <c r="B278" t="s">
        <v>195</v>
      </c>
      <c r="C278" t="s">
        <v>165</v>
      </c>
      <c r="D278" t="s">
        <v>31</v>
      </c>
      <c r="E278" t="s">
        <v>630</v>
      </c>
      <c r="F278">
        <v>248</v>
      </c>
      <c r="G278" t="s">
        <v>21</v>
      </c>
      <c r="H278" t="s">
        <v>423</v>
      </c>
      <c r="I278" t="s">
        <v>404</v>
      </c>
      <c r="J278" t="s">
        <v>580</v>
      </c>
      <c r="K278">
        <v>1.79</v>
      </c>
      <c r="L278" s="1" t="s">
        <v>631</v>
      </c>
      <c r="M278" t="s">
        <v>632</v>
      </c>
      <c r="N278" s="1" t="s">
        <v>660</v>
      </c>
      <c r="O278">
        <v>1.79</v>
      </c>
      <c r="P278" t="s">
        <v>423</v>
      </c>
      <c r="Q278" t="s">
        <v>634</v>
      </c>
      <c r="R278" s="1" t="s">
        <v>465</v>
      </c>
      <c r="S278" s="1" t="s">
        <v>406</v>
      </c>
      <c r="T278" s="1" t="s">
        <v>406</v>
      </c>
      <c r="U278" s="1" t="s">
        <v>635</v>
      </c>
      <c r="V278" s="1" t="s">
        <v>661</v>
      </c>
    </row>
    <row r="279" spans="1:22" x14ac:dyDescent="0.2">
      <c r="A279">
        <v>87</v>
      </c>
      <c r="B279" t="s">
        <v>195</v>
      </c>
      <c r="C279" t="s">
        <v>165</v>
      </c>
      <c r="D279" t="s">
        <v>31</v>
      </c>
      <c r="E279" t="s">
        <v>630</v>
      </c>
      <c r="F279">
        <v>248</v>
      </c>
      <c r="G279" t="s">
        <v>22</v>
      </c>
      <c r="H279" t="s">
        <v>423</v>
      </c>
      <c r="I279" t="s">
        <v>404</v>
      </c>
      <c r="J279" t="s">
        <v>580</v>
      </c>
      <c r="K279">
        <v>57.919999999999987</v>
      </c>
      <c r="L279" s="1" t="s">
        <v>631</v>
      </c>
      <c r="M279" t="s">
        <v>632</v>
      </c>
      <c r="N279" s="1" t="s">
        <v>662</v>
      </c>
      <c r="O279">
        <v>57.919999999999987</v>
      </c>
      <c r="P279" t="s">
        <v>423</v>
      </c>
      <c r="Q279" t="s">
        <v>634</v>
      </c>
      <c r="R279" s="1" t="s">
        <v>465</v>
      </c>
      <c r="S279" s="1" t="s">
        <v>406</v>
      </c>
      <c r="T279" s="1" t="s">
        <v>406</v>
      </c>
      <c r="U279" s="1" t="s">
        <v>635</v>
      </c>
      <c r="V279" s="1" t="s">
        <v>663</v>
      </c>
    </row>
    <row r="280" spans="1:22" x14ac:dyDescent="0.2">
      <c r="A280">
        <v>87</v>
      </c>
      <c r="B280" t="s">
        <v>195</v>
      </c>
      <c r="C280" t="s">
        <v>165</v>
      </c>
      <c r="D280" t="s">
        <v>31</v>
      </c>
      <c r="E280" t="s">
        <v>630</v>
      </c>
      <c r="F280">
        <v>248</v>
      </c>
      <c r="G280" t="s">
        <v>23</v>
      </c>
      <c r="H280" t="s">
        <v>423</v>
      </c>
      <c r="I280" t="s">
        <v>404</v>
      </c>
      <c r="J280" t="s">
        <v>580</v>
      </c>
      <c r="K280">
        <v>209.23400000000001</v>
      </c>
      <c r="L280" s="1" t="s">
        <v>631</v>
      </c>
      <c r="M280" t="s">
        <v>632</v>
      </c>
      <c r="N280" s="1" t="s">
        <v>664</v>
      </c>
      <c r="O280">
        <v>209.23400000000001</v>
      </c>
      <c r="P280" t="s">
        <v>423</v>
      </c>
      <c r="Q280" t="s">
        <v>634</v>
      </c>
      <c r="R280" s="1" t="s">
        <v>465</v>
      </c>
      <c r="S280" s="1" t="s">
        <v>406</v>
      </c>
      <c r="T280" s="1" t="s">
        <v>406</v>
      </c>
      <c r="U280" s="1" t="s">
        <v>429</v>
      </c>
      <c r="V280" s="1" t="s">
        <v>650</v>
      </c>
    </row>
    <row r="281" spans="1:22" x14ac:dyDescent="0.2">
      <c r="A281">
        <v>87</v>
      </c>
      <c r="B281" t="s">
        <v>195</v>
      </c>
      <c r="C281" t="s">
        <v>165</v>
      </c>
      <c r="D281" t="s">
        <v>31</v>
      </c>
      <c r="E281" t="s">
        <v>630</v>
      </c>
      <c r="F281">
        <v>248</v>
      </c>
      <c r="G281" t="s">
        <v>24</v>
      </c>
      <c r="H281" t="s">
        <v>423</v>
      </c>
      <c r="I281" t="s">
        <v>404</v>
      </c>
      <c r="J281" t="s">
        <v>580</v>
      </c>
      <c r="K281">
        <v>39.285000000000011</v>
      </c>
      <c r="L281" s="1" t="s">
        <v>631</v>
      </c>
      <c r="M281" t="s">
        <v>632</v>
      </c>
      <c r="N281" s="1" t="s">
        <v>665</v>
      </c>
      <c r="O281">
        <v>39.285000000000011</v>
      </c>
      <c r="P281" t="s">
        <v>423</v>
      </c>
      <c r="Q281" t="s">
        <v>634</v>
      </c>
      <c r="R281" s="1" t="s">
        <v>465</v>
      </c>
      <c r="S281" s="1" t="s">
        <v>406</v>
      </c>
      <c r="T281" s="1" t="s">
        <v>406</v>
      </c>
      <c r="U281" s="1" t="s">
        <v>429</v>
      </c>
      <c r="V281" s="1" t="s">
        <v>650</v>
      </c>
    </row>
    <row r="282" spans="1:22" x14ac:dyDescent="0.2">
      <c r="A282">
        <v>87</v>
      </c>
      <c r="B282" t="s">
        <v>195</v>
      </c>
      <c r="C282" t="s">
        <v>165</v>
      </c>
      <c r="D282" t="s">
        <v>31</v>
      </c>
      <c r="E282" t="s">
        <v>630</v>
      </c>
      <c r="F282">
        <v>248</v>
      </c>
      <c r="G282" t="s">
        <v>25</v>
      </c>
      <c r="H282" t="s">
        <v>423</v>
      </c>
      <c r="I282" t="s">
        <v>404</v>
      </c>
      <c r="J282" t="s">
        <v>580</v>
      </c>
      <c r="K282">
        <v>0.38500000000000001</v>
      </c>
      <c r="L282" s="1" t="s">
        <v>631</v>
      </c>
      <c r="M282" t="s">
        <v>632</v>
      </c>
      <c r="N282" s="1" t="s">
        <v>666</v>
      </c>
      <c r="O282">
        <v>0.38500000000000001</v>
      </c>
      <c r="P282" t="s">
        <v>423</v>
      </c>
      <c r="Q282" t="s">
        <v>634</v>
      </c>
      <c r="R282" s="1" t="s">
        <v>465</v>
      </c>
      <c r="S282" s="1" t="s">
        <v>406</v>
      </c>
      <c r="T282" s="1" t="s">
        <v>406</v>
      </c>
      <c r="U282" s="1" t="s">
        <v>429</v>
      </c>
      <c r="V282" s="1" t="s">
        <v>650</v>
      </c>
    </row>
    <row r="283" spans="1:22" x14ac:dyDescent="0.2">
      <c r="A283">
        <v>87</v>
      </c>
      <c r="B283" t="s">
        <v>195</v>
      </c>
      <c r="C283" t="s">
        <v>165</v>
      </c>
      <c r="D283" t="s">
        <v>31</v>
      </c>
      <c r="E283" t="s">
        <v>630</v>
      </c>
      <c r="F283">
        <v>248</v>
      </c>
      <c r="G283" t="s">
        <v>26</v>
      </c>
      <c r="H283" t="s">
        <v>496</v>
      </c>
      <c r="I283" t="s">
        <v>404</v>
      </c>
      <c r="J283" t="s">
        <v>580</v>
      </c>
      <c r="K283">
        <v>79.500000000000014</v>
      </c>
      <c r="L283" s="1" t="s">
        <v>631</v>
      </c>
      <c r="M283" t="s">
        <v>632</v>
      </c>
      <c r="N283" s="1" t="s">
        <v>667</v>
      </c>
      <c r="O283">
        <v>79.500000000000014</v>
      </c>
      <c r="P283" t="s">
        <v>496</v>
      </c>
      <c r="Q283" t="s">
        <v>634</v>
      </c>
      <c r="R283" s="1" t="s">
        <v>465</v>
      </c>
      <c r="S283" s="1" t="s">
        <v>406</v>
      </c>
      <c r="T283" s="1" t="s">
        <v>406</v>
      </c>
      <c r="U283" s="1" t="s">
        <v>635</v>
      </c>
      <c r="V283" s="1" t="s">
        <v>668</v>
      </c>
    </row>
    <row r="284" spans="1:22" x14ac:dyDescent="0.2">
      <c r="A284">
        <v>88</v>
      </c>
      <c r="B284" t="s">
        <v>197</v>
      </c>
      <c r="C284" t="s">
        <v>165</v>
      </c>
      <c r="D284" t="s">
        <v>31</v>
      </c>
      <c r="E284" t="s">
        <v>669</v>
      </c>
      <c r="F284">
        <v>31</v>
      </c>
      <c r="G284" t="s">
        <v>6</v>
      </c>
      <c r="H284" t="s">
        <v>493</v>
      </c>
      <c r="I284" t="s">
        <v>404</v>
      </c>
      <c r="J284" t="s">
        <v>580</v>
      </c>
      <c r="K284">
        <v>87.440000000000012</v>
      </c>
      <c r="L284" s="1" t="s">
        <v>631</v>
      </c>
      <c r="M284" t="s">
        <v>670</v>
      </c>
      <c r="N284" s="1" t="s">
        <v>671</v>
      </c>
      <c r="O284">
        <v>87.440000000000012</v>
      </c>
      <c r="P284" t="s">
        <v>493</v>
      </c>
      <c r="Q284" t="s">
        <v>634</v>
      </c>
      <c r="R284" s="1" t="s">
        <v>465</v>
      </c>
      <c r="S284" s="1" t="s">
        <v>406</v>
      </c>
      <c r="T284" s="1" t="s">
        <v>406</v>
      </c>
      <c r="U284" s="1" t="s">
        <v>635</v>
      </c>
      <c r="V284" s="1" t="s">
        <v>672</v>
      </c>
    </row>
    <row r="285" spans="1:22" x14ac:dyDescent="0.2">
      <c r="A285">
        <v>88</v>
      </c>
      <c r="B285" t="s">
        <v>197</v>
      </c>
      <c r="C285" t="s">
        <v>165</v>
      </c>
      <c r="D285" t="s">
        <v>31</v>
      </c>
      <c r="E285" t="s">
        <v>669</v>
      </c>
      <c r="F285">
        <v>31</v>
      </c>
      <c r="G285" t="s">
        <v>7</v>
      </c>
      <c r="H285" t="s">
        <v>415</v>
      </c>
      <c r="I285" t="s">
        <v>404</v>
      </c>
      <c r="J285" t="s">
        <v>580</v>
      </c>
      <c r="K285">
        <v>3.3149999999999991</v>
      </c>
      <c r="L285" s="1" t="s">
        <v>631</v>
      </c>
      <c r="M285" t="s">
        <v>670</v>
      </c>
      <c r="N285" s="1" t="s">
        <v>673</v>
      </c>
      <c r="O285">
        <v>3.3149999999999991</v>
      </c>
      <c r="P285" t="s">
        <v>415</v>
      </c>
      <c r="Q285" t="s">
        <v>634</v>
      </c>
      <c r="R285" s="1" t="s">
        <v>465</v>
      </c>
      <c r="S285" s="1" t="s">
        <v>406</v>
      </c>
      <c r="T285" s="1" t="s">
        <v>406</v>
      </c>
      <c r="U285" s="1" t="s">
        <v>635</v>
      </c>
      <c r="V285" s="1" t="s">
        <v>674</v>
      </c>
    </row>
    <row r="286" spans="1:22" x14ac:dyDescent="0.2">
      <c r="A286">
        <v>88</v>
      </c>
      <c r="B286" t="s">
        <v>197</v>
      </c>
      <c r="C286" t="s">
        <v>165</v>
      </c>
      <c r="D286" t="s">
        <v>31</v>
      </c>
      <c r="E286" t="s">
        <v>669</v>
      </c>
      <c r="F286">
        <v>31</v>
      </c>
      <c r="G286" t="s">
        <v>8</v>
      </c>
      <c r="H286" t="s">
        <v>415</v>
      </c>
      <c r="I286" t="s">
        <v>404</v>
      </c>
      <c r="J286" t="s">
        <v>580</v>
      </c>
      <c r="K286">
        <v>4.4689999999999994</v>
      </c>
      <c r="L286" s="1" t="s">
        <v>631</v>
      </c>
      <c r="M286" t="s">
        <v>670</v>
      </c>
      <c r="N286" s="1" t="s">
        <v>675</v>
      </c>
      <c r="O286">
        <v>4.4689999999999994</v>
      </c>
      <c r="P286" t="s">
        <v>415</v>
      </c>
      <c r="Q286" t="s">
        <v>634</v>
      </c>
      <c r="R286" s="1" t="s">
        <v>465</v>
      </c>
      <c r="S286" s="1" t="s">
        <v>406</v>
      </c>
      <c r="T286" s="1" t="s">
        <v>406</v>
      </c>
      <c r="U286" s="1" t="s">
        <v>635</v>
      </c>
      <c r="V286" s="1" t="s">
        <v>676</v>
      </c>
    </row>
    <row r="287" spans="1:22" ht="16" customHeight="1" x14ac:dyDescent="0.2">
      <c r="A287">
        <v>88</v>
      </c>
      <c r="B287" t="s">
        <v>197</v>
      </c>
      <c r="C287" t="s">
        <v>165</v>
      </c>
      <c r="D287" t="s">
        <v>31</v>
      </c>
      <c r="E287" t="s">
        <v>669</v>
      </c>
      <c r="F287">
        <v>31</v>
      </c>
      <c r="G287" t="s">
        <v>9</v>
      </c>
      <c r="H287" t="s">
        <v>415</v>
      </c>
      <c r="I287" t="s">
        <v>404</v>
      </c>
      <c r="J287" t="s">
        <v>405</v>
      </c>
      <c r="K287">
        <v>0</v>
      </c>
      <c r="L287" s="11" t="s">
        <v>406</v>
      </c>
      <c r="M287" t="s">
        <v>416</v>
      </c>
      <c r="N287" s="11" t="s">
        <v>417</v>
      </c>
      <c r="O287" t="s">
        <v>418</v>
      </c>
      <c r="P287" t="s">
        <v>415</v>
      </c>
      <c r="Q287">
        <v>1</v>
      </c>
      <c r="R287" s="11" t="s">
        <v>406</v>
      </c>
      <c r="S287" s="11" t="s">
        <v>406</v>
      </c>
      <c r="T287" s="11" t="s">
        <v>406</v>
      </c>
      <c r="U287" s="11" t="s">
        <v>419</v>
      </c>
      <c r="V287" s="11" t="s">
        <v>420</v>
      </c>
    </row>
    <row r="288" spans="1:22" x14ac:dyDescent="0.2">
      <c r="A288">
        <v>88</v>
      </c>
      <c r="B288" t="s">
        <v>197</v>
      </c>
      <c r="C288" t="s">
        <v>165</v>
      </c>
      <c r="D288" t="s">
        <v>31</v>
      </c>
      <c r="E288" t="s">
        <v>669</v>
      </c>
      <c r="F288">
        <v>31</v>
      </c>
      <c r="G288" t="s">
        <v>10</v>
      </c>
      <c r="H288" t="s">
        <v>415</v>
      </c>
      <c r="I288" t="s">
        <v>404</v>
      </c>
      <c r="J288" t="s">
        <v>580</v>
      </c>
      <c r="K288">
        <v>9.4980000000000011</v>
      </c>
      <c r="L288" s="1" t="s">
        <v>631</v>
      </c>
      <c r="M288" t="s">
        <v>670</v>
      </c>
      <c r="N288" s="1" t="s">
        <v>677</v>
      </c>
      <c r="O288">
        <v>9.4980000000000011</v>
      </c>
      <c r="P288" t="s">
        <v>415</v>
      </c>
      <c r="Q288" t="s">
        <v>634</v>
      </c>
      <c r="R288" s="1" t="s">
        <v>465</v>
      </c>
      <c r="S288" s="1" t="s">
        <v>406</v>
      </c>
      <c r="T288" s="1" t="s">
        <v>406</v>
      </c>
      <c r="U288" s="1" t="s">
        <v>635</v>
      </c>
      <c r="V288" s="1" t="s">
        <v>678</v>
      </c>
    </row>
    <row r="289" spans="1:22" x14ac:dyDescent="0.2">
      <c r="A289">
        <v>88</v>
      </c>
      <c r="B289" t="s">
        <v>197</v>
      </c>
      <c r="C289" t="s">
        <v>165</v>
      </c>
      <c r="D289" t="s">
        <v>31</v>
      </c>
      <c r="E289" t="s">
        <v>669</v>
      </c>
      <c r="F289">
        <v>31</v>
      </c>
      <c r="G289" t="s">
        <v>11</v>
      </c>
      <c r="H289" t="s">
        <v>415</v>
      </c>
      <c r="I289" t="s">
        <v>404</v>
      </c>
      <c r="J289" t="s">
        <v>580</v>
      </c>
      <c r="K289">
        <v>3.543000000000001</v>
      </c>
      <c r="L289" s="1" t="s">
        <v>631</v>
      </c>
      <c r="M289" t="s">
        <v>670</v>
      </c>
      <c r="N289" s="1" t="s">
        <v>679</v>
      </c>
      <c r="O289">
        <v>3.543000000000001</v>
      </c>
      <c r="P289" t="s">
        <v>415</v>
      </c>
      <c r="Q289" t="s">
        <v>634</v>
      </c>
      <c r="R289" s="1" t="s">
        <v>465</v>
      </c>
      <c r="S289" s="1" t="s">
        <v>406</v>
      </c>
      <c r="T289" s="1" t="s">
        <v>406</v>
      </c>
      <c r="U289" s="1" t="s">
        <v>635</v>
      </c>
      <c r="V289" s="1" t="s">
        <v>676</v>
      </c>
    </row>
    <row r="290" spans="1:22" x14ac:dyDescent="0.2">
      <c r="A290">
        <v>88</v>
      </c>
      <c r="B290" t="s">
        <v>197</v>
      </c>
      <c r="C290" t="s">
        <v>165</v>
      </c>
      <c r="D290" t="s">
        <v>31</v>
      </c>
      <c r="E290" t="s">
        <v>669</v>
      </c>
      <c r="F290">
        <v>31</v>
      </c>
      <c r="G290" t="s">
        <v>12</v>
      </c>
      <c r="H290" t="s">
        <v>415</v>
      </c>
      <c r="I290" t="s">
        <v>404</v>
      </c>
      <c r="J290" t="s">
        <v>580</v>
      </c>
      <c r="K290">
        <v>0.91500000000000026</v>
      </c>
      <c r="L290" s="1" t="s">
        <v>631</v>
      </c>
      <c r="M290" t="s">
        <v>670</v>
      </c>
      <c r="N290" s="1" t="s">
        <v>680</v>
      </c>
      <c r="O290">
        <v>0.91500000000000026</v>
      </c>
      <c r="P290" t="s">
        <v>415</v>
      </c>
      <c r="Q290" t="s">
        <v>634</v>
      </c>
      <c r="R290" s="1" t="s">
        <v>465</v>
      </c>
      <c r="S290" s="1" t="s">
        <v>406</v>
      </c>
      <c r="T290" s="1" t="s">
        <v>406</v>
      </c>
      <c r="U290" s="1" t="s">
        <v>635</v>
      </c>
      <c r="V290" s="1" t="s">
        <v>681</v>
      </c>
    </row>
    <row r="291" spans="1:22" x14ac:dyDescent="0.2">
      <c r="A291">
        <v>88</v>
      </c>
      <c r="B291" t="s">
        <v>197</v>
      </c>
      <c r="C291" t="s">
        <v>165</v>
      </c>
      <c r="D291" t="s">
        <v>31</v>
      </c>
      <c r="E291" t="s">
        <v>669</v>
      </c>
      <c r="F291">
        <v>31</v>
      </c>
      <c r="G291" t="s">
        <v>13</v>
      </c>
      <c r="H291" t="s">
        <v>403</v>
      </c>
      <c r="I291" t="s">
        <v>404</v>
      </c>
      <c r="J291" t="s">
        <v>580</v>
      </c>
      <c r="K291">
        <v>0</v>
      </c>
      <c r="L291" s="1" t="s">
        <v>631</v>
      </c>
      <c r="M291" t="s">
        <v>670</v>
      </c>
      <c r="N291" s="1" t="s">
        <v>682</v>
      </c>
      <c r="O291">
        <v>0</v>
      </c>
      <c r="P291" t="s">
        <v>403</v>
      </c>
      <c r="Q291" t="s">
        <v>634</v>
      </c>
      <c r="R291" s="1" t="s">
        <v>465</v>
      </c>
      <c r="S291" s="1" t="s">
        <v>406</v>
      </c>
      <c r="T291" s="1" t="s">
        <v>406</v>
      </c>
      <c r="U291" s="1" t="s">
        <v>635</v>
      </c>
      <c r="V291" s="1" t="s">
        <v>683</v>
      </c>
    </row>
    <row r="292" spans="1:22" x14ac:dyDescent="0.2">
      <c r="A292">
        <v>88</v>
      </c>
      <c r="B292" t="s">
        <v>197</v>
      </c>
      <c r="C292" t="s">
        <v>165</v>
      </c>
      <c r="D292" t="s">
        <v>31</v>
      </c>
      <c r="E292" t="s">
        <v>669</v>
      </c>
      <c r="F292">
        <v>31</v>
      </c>
      <c r="G292" t="s">
        <v>14</v>
      </c>
      <c r="H292" t="s">
        <v>403</v>
      </c>
      <c r="I292" t="s">
        <v>404</v>
      </c>
      <c r="J292" t="s">
        <v>580</v>
      </c>
      <c r="K292">
        <v>222.28</v>
      </c>
      <c r="L292" s="1" t="s">
        <v>631</v>
      </c>
      <c r="M292" t="s">
        <v>670</v>
      </c>
      <c r="N292" s="1" t="s">
        <v>684</v>
      </c>
      <c r="O292">
        <v>222.28</v>
      </c>
      <c r="P292" t="s">
        <v>403</v>
      </c>
      <c r="Q292" t="s">
        <v>634</v>
      </c>
      <c r="R292" s="1" t="s">
        <v>465</v>
      </c>
      <c r="S292" s="1" t="s">
        <v>406</v>
      </c>
      <c r="T292" s="1" t="s">
        <v>406</v>
      </c>
      <c r="U292" s="1" t="s">
        <v>429</v>
      </c>
      <c r="V292" s="1" t="s">
        <v>685</v>
      </c>
    </row>
    <row r="293" spans="1:22" x14ac:dyDescent="0.2">
      <c r="A293">
        <v>88</v>
      </c>
      <c r="B293" t="s">
        <v>197</v>
      </c>
      <c r="C293" t="s">
        <v>165</v>
      </c>
      <c r="D293" t="s">
        <v>31</v>
      </c>
      <c r="E293" t="s">
        <v>669</v>
      </c>
      <c r="F293">
        <v>31</v>
      </c>
      <c r="G293" t="s">
        <v>15</v>
      </c>
      <c r="H293" t="s">
        <v>423</v>
      </c>
      <c r="I293" t="s">
        <v>404</v>
      </c>
      <c r="J293" t="s">
        <v>580</v>
      </c>
      <c r="K293">
        <v>0.23669999999999999</v>
      </c>
      <c r="L293" s="1" t="s">
        <v>631</v>
      </c>
      <c r="M293" t="s">
        <v>670</v>
      </c>
      <c r="N293" s="1" t="s">
        <v>686</v>
      </c>
      <c r="O293">
        <v>0.23669999999999999</v>
      </c>
      <c r="P293" t="s">
        <v>423</v>
      </c>
      <c r="Q293" t="s">
        <v>634</v>
      </c>
      <c r="R293" s="1" t="s">
        <v>465</v>
      </c>
      <c r="S293" s="1" t="s">
        <v>406</v>
      </c>
      <c r="T293" s="1" t="s">
        <v>406</v>
      </c>
      <c r="U293" s="1" t="s">
        <v>635</v>
      </c>
      <c r="V293" s="1" t="s">
        <v>687</v>
      </c>
    </row>
    <row r="294" spans="1:22" x14ac:dyDescent="0.2">
      <c r="A294">
        <v>88</v>
      </c>
      <c r="B294" t="s">
        <v>197</v>
      </c>
      <c r="C294" t="s">
        <v>165</v>
      </c>
      <c r="D294" t="s">
        <v>31</v>
      </c>
      <c r="E294" t="s">
        <v>669</v>
      </c>
      <c r="F294">
        <v>31</v>
      </c>
      <c r="G294" t="s">
        <v>16</v>
      </c>
      <c r="H294" t="s">
        <v>423</v>
      </c>
      <c r="I294" t="s">
        <v>404</v>
      </c>
      <c r="J294" t="s">
        <v>580</v>
      </c>
      <c r="K294">
        <v>8.0700000000000008E-2</v>
      </c>
      <c r="L294" s="1" t="s">
        <v>631</v>
      </c>
      <c r="M294" t="s">
        <v>670</v>
      </c>
      <c r="N294" s="1" t="s">
        <v>688</v>
      </c>
      <c r="O294">
        <v>8.0700000000000008E-2</v>
      </c>
      <c r="P294" t="s">
        <v>423</v>
      </c>
      <c r="Q294" t="s">
        <v>634</v>
      </c>
      <c r="R294" s="1" t="s">
        <v>465</v>
      </c>
      <c r="S294" s="1" t="s">
        <v>406</v>
      </c>
      <c r="T294" s="1" t="s">
        <v>406</v>
      </c>
      <c r="U294" s="1" t="s">
        <v>429</v>
      </c>
      <c r="V294" s="1" t="s">
        <v>685</v>
      </c>
    </row>
    <row r="295" spans="1:22" x14ac:dyDescent="0.2">
      <c r="A295">
        <v>88</v>
      </c>
      <c r="B295" t="s">
        <v>197</v>
      </c>
      <c r="C295" t="s">
        <v>165</v>
      </c>
      <c r="D295" t="s">
        <v>31</v>
      </c>
      <c r="E295" t="s">
        <v>669</v>
      </c>
      <c r="F295">
        <v>31</v>
      </c>
      <c r="G295" t="s">
        <v>17</v>
      </c>
      <c r="H295" t="s">
        <v>423</v>
      </c>
      <c r="I295" t="s">
        <v>404</v>
      </c>
      <c r="J295" t="s">
        <v>580</v>
      </c>
      <c r="K295">
        <v>0.67800000000000005</v>
      </c>
      <c r="L295" s="1" t="s">
        <v>631</v>
      </c>
      <c r="M295" t="s">
        <v>670</v>
      </c>
      <c r="N295" s="1" t="s">
        <v>689</v>
      </c>
      <c r="O295">
        <v>0.67800000000000005</v>
      </c>
      <c r="P295" t="s">
        <v>423</v>
      </c>
      <c r="Q295" t="s">
        <v>634</v>
      </c>
      <c r="R295" s="1" t="s">
        <v>465</v>
      </c>
      <c r="S295" s="1" t="s">
        <v>406</v>
      </c>
      <c r="T295" s="1" t="s">
        <v>406</v>
      </c>
      <c r="U295" s="1" t="s">
        <v>429</v>
      </c>
      <c r="V295" s="1" t="s">
        <v>685</v>
      </c>
    </row>
    <row r="296" spans="1:22" x14ac:dyDescent="0.2">
      <c r="A296">
        <v>88</v>
      </c>
      <c r="B296" t="s">
        <v>197</v>
      </c>
      <c r="C296" t="s">
        <v>165</v>
      </c>
      <c r="D296" t="s">
        <v>31</v>
      </c>
      <c r="E296" t="s">
        <v>669</v>
      </c>
      <c r="F296">
        <v>31</v>
      </c>
      <c r="G296" t="s">
        <v>18</v>
      </c>
      <c r="H296" t="s">
        <v>423</v>
      </c>
      <c r="I296" t="s">
        <v>404</v>
      </c>
      <c r="J296" t="s">
        <v>580</v>
      </c>
      <c r="K296">
        <v>18.88</v>
      </c>
      <c r="L296" s="1" t="s">
        <v>631</v>
      </c>
      <c r="M296" t="s">
        <v>670</v>
      </c>
      <c r="N296" s="1" t="s">
        <v>690</v>
      </c>
      <c r="O296">
        <v>18.88</v>
      </c>
      <c r="P296" t="s">
        <v>423</v>
      </c>
      <c r="Q296" t="s">
        <v>634</v>
      </c>
      <c r="R296" s="1" t="s">
        <v>465</v>
      </c>
      <c r="S296" s="1" t="s">
        <v>406</v>
      </c>
      <c r="T296" s="1" t="s">
        <v>406</v>
      </c>
      <c r="U296" s="1" t="s">
        <v>635</v>
      </c>
      <c r="V296" s="1" t="s">
        <v>691</v>
      </c>
    </row>
    <row r="297" spans="1:22" x14ac:dyDescent="0.2">
      <c r="A297">
        <v>88</v>
      </c>
      <c r="B297" t="s">
        <v>197</v>
      </c>
      <c r="C297" t="s">
        <v>165</v>
      </c>
      <c r="D297" t="s">
        <v>31</v>
      </c>
      <c r="E297" t="s">
        <v>669</v>
      </c>
      <c r="F297">
        <v>31</v>
      </c>
      <c r="G297" t="s">
        <v>19</v>
      </c>
      <c r="H297" t="s">
        <v>423</v>
      </c>
      <c r="I297" t="s">
        <v>404</v>
      </c>
      <c r="J297" t="s">
        <v>580</v>
      </c>
      <c r="K297">
        <v>49.73</v>
      </c>
      <c r="L297" s="1" t="s">
        <v>631</v>
      </c>
      <c r="M297" t="s">
        <v>670</v>
      </c>
      <c r="N297" s="1" t="s">
        <v>692</v>
      </c>
      <c r="O297">
        <v>49.73</v>
      </c>
      <c r="P297" t="s">
        <v>423</v>
      </c>
      <c r="Q297" t="s">
        <v>634</v>
      </c>
      <c r="R297" s="1" t="s">
        <v>465</v>
      </c>
      <c r="S297" s="1" t="s">
        <v>406</v>
      </c>
      <c r="T297" s="1" t="s">
        <v>406</v>
      </c>
      <c r="U297" s="1" t="s">
        <v>635</v>
      </c>
      <c r="V297" s="1" t="s">
        <v>693</v>
      </c>
    </row>
    <row r="298" spans="1:22" x14ac:dyDescent="0.2">
      <c r="A298">
        <v>88</v>
      </c>
      <c r="B298" t="s">
        <v>197</v>
      </c>
      <c r="C298" t="s">
        <v>165</v>
      </c>
      <c r="D298" t="s">
        <v>31</v>
      </c>
      <c r="E298" t="s">
        <v>669</v>
      </c>
      <c r="F298">
        <v>31</v>
      </c>
      <c r="G298" t="s">
        <v>20</v>
      </c>
      <c r="H298" t="s">
        <v>423</v>
      </c>
      <c r="I298" t="s">
        <v>404</v>
      </c>
      <c r="J298" t="s">
        <v>580</v>
      </c>
      <c r="K298">
        <v>0.1991</v>
      </c>
      <c r="L298" s="1" t="s">
        <v>631</v>
      </c>
      <c r="M298" t="s">
        <v>670</v>
      </c>
      <c r="N298" s="1" t="s">
        <v>694</v>
      </c>
      <c r="O298">
        <v>0.1991</v>
      </c>
      <c r="P298" t="s">
        <v>423</v>
      </c>
      <c r="Q298" t="s">
        <v>634</v>
      </c>
      <c r="R298" s="1" t="s">
        <v>465</v>
      </c>
      <c r="S298" s="1" t="s">
        <v>406</v>
      </c>
      <c r="T298" s="1" t="s">
        <v>406</v>
      </c>
      <c r="U298" s="1" t="s">
        <v>429</v>
      </c>
      <c r="V298" s="1" t="s">
        <v>685</v>
      </c>
    </row>
    <row r="299" spans="1:22" x14ac:dyDescent="0.2">
      <c r="A299">
        <v>88</v>
      </c>
      <c r="B299" t="s">
        <v>197</v>
      </c>
      <c r="C299" t="s">
        <v>165</v>
      </c>
      <c r="D299" t="s">
        <v>31</v>
      </c>
      <c r="E299" t="s">
        <v>669</v>
      </c>
      <c r="F299">
        <v>31</v>
      </c>
      <c r="G299" t="s">
        <v>21</v>
      </c>
      <c r="H299" t="s">
        <v>423</v>
      </c>
      <c r="I299" t="s">
        <v>404</v>
      </c>
      <c r="J299" t="s">
        <v>580</v>
      </c>
      <c r="K299">
        <v>1.454</v>
      </c>
      <c r="L299" s="1" t="s">
        <v>631</v>
      </c>
      <c r="M299" t="s">
        <v>670</v>
      </c>
      <c r="N299" s="1" t="s">
        <v>695</v>
      </c>
      <c r="O299">
        <v>1.454</v>
      </c>
      <c r="P299" t="s">
        <v>423</v>
      </c>
      <c r="Q299" t="s">
        <v>634</v>
      </c>
      <c r="R299" s="1" t="s">
        <v>465</v>
      </c>
      <c r="S299" s="1" t="s">
        <v>406</v>
      </c>
      <c r="T299" s="1" t="s">
        <v>406</v>
      </c>
      <c r="U299" s="1" t="s">
        <v>635</v>
      </c>
      <c r="V299" s="1" t="s">
        <v>696</v>
      </c>
    </row>
    <row r="300" spans="1:22" x14ac:dyDescent="0.2">
      <c r="A300">
        <v>88</v>
      </c>
      <c r="B300" t="s">
        <v>197</v>
      </c>
      <c r="C300" t="s">
        <v>165</v>
      </c>
      <c r="D300" t="s">
        <v>31</v>
      </c>
      <c r="E300" t="s">
        <v>669</v>
      </c>
      <c r="F300">
        <v>31</v>
      </c>
      <c r="G300" t="s">
        <v>22</v>
      </c>
      <c r="H300" t="s">
        <v>423</v>
      </c>
      <c r="I300" t="s">
        <v>404</v>
      </c>
      <c r="J300" t="s">
        <v>580</v>
      </c>
      <c r="K300">
        <v>77.830000000000027</v>
      </c>
      <c r="L300" s="1" t="s">
        <v>631</v>
      </c>
      <c r="M300" t="s">
        <v>670</v>
      </c>
      <c r="N300" s="1" t="s">
        <v>697</v>
      </c>
      <c r="O300">
        <v>77.830000000000027</v>
      </c>
      <c r="P300" t="s">
        <v>423</v>
      </c>
      <c r="Q300" t="s">
        <v>634</v>
      </c>
      <c r="R300" s="1" t="s">
        <v>465</v>
      </c>
      <c r="S300" s="1" t="s">
        <v>406</v>
      </c>
      <c r="T300" s="1" t="s">
        <v>406</v>
      </c>
      <c r="U300" s="1" t="s">
        <v>635</v>
      </c>
      <c r="V300" s="1" t="s">
        <v>698</v>
      </c>
    </row>
    <row r="301" spans="1:22" x14ac:dyDescent="0.2">
      <c r="A301">
        <v>88</v>
      </c>
      <c r="B301" t="s">
        <v>197</v>
      </c>
      <c r="C301" t="s">
        <v>165</v>
      </c>
      <c r="D301" t="s">
        <v>31</v>
      </c>
      <c r="E301" t="s">
        <v>669</v>
      </c>
      <c r="F301">
        <v>31</v>
      </c>
      <c r="G301" t="s">
        <v>23</v>
      </c>
      <c r="H301" t="s">
        <v>423</v>
      </c>
      <c r="I301" t="s">
        <v>404</v>
      </c>
      <c r="J301" t="s">
        <v>580</v>
      </c>
      <c r="K301">
        <v>260.63299999999998</v>
      </c>
      <c r="L301" s="1" t="s">
        <v>631</v>
      </c>
      <c r="M301" t="s">
        <v>670</v>
      </c>
      <c r="N301" s="1" t="s">
        <v>699</v>
      </c>
      <c r="O301">
        <v>260.63299999999998</v>
      </c>
      <c r="P301" t="s">
        <v>423</v>
      </c>
      <c r="Q301" t="s">
        <v>634</v>
      </c>
      <c r="R301" s="1" t="s">
        <v>465</v>
      </c>
      <c r="S301" s="1" t="s">
        <v>406</v>
      </c>
      <c r="T301" s="1" t="s">
        <v>406</v>
      </c>
      <c r="U301" s="1" t="s">
        <v>429</v>
      </c>
      <c r="V301" s="1" t="s">
        <v>685</v>
      </c>
    </row>
    <row r="302" spans="1:22" x14ac:dyDescent="0.2">
      <c r="A302">
        <v>88</v>
      </c>
      <c r="B302" t="s">
        <v>197</v>
      </c>
      <c r="C302" t="s">
        <v>165</v>
      </c>
      <c r="D302" t="s">
        <v>31</v>
      </c>
      <c r="E302" t="s">
        <v>669</v>
      </c>
      <c r="F302">
        <v>31</v>
      </c>
      <c r="G302" t="s">
        <v>24</v>
      </c>
      <c r="H302" t="s">
        <v>423</v>
      </c>
      <c r="I302" t="s">
        <v>404</v>
      </c>
      <c r="J302" t="s">
        <v>580</v>
      </c>
      <c r="K302">
        <v>69.077999999999989</v>
      </c>
      <c r="L302" s="1" t="s">
        <v>631</v>
      </c>
      <c r="M302" t="s">
        <v>670</v>
      </c>
      <c r="N302" s="1" t="s">
        <v>700</v>
      </c>
      <c r="O302">
        <v>69.077999999999989</v>
      </c>
      <c r="P302" t="s">
        <v>423</v>
      </c>
      <c r="Q302" t="s">
        <v>634</v>
      </c>
      <c r="R302" s="1" t="s">
        <v>465</v>
      </c>
      <c r="S302" s="1" t="s">
        <v>406</v>
      </c>
      <c r="T302" s="1" t="s">
        <v>406</v>
      </c>
      <c r="U302" s="1" t="s">
        <v>429</v>
      </c>
      <c r="V302" s="1" t="s">
        <v>685</v>
      </c>
    </row>
    <row r="303" spans="1:22" x14ac:dyDescent="0.2">
      <c r="A303">
        <v>88</v>
      </c>
      <c r="B303" t="s">
        <v>197</v>
      </c>
      <c r="C303" t="s">
        <v>165</v>
      </c>
      <c r="D303" t="s">
        <v>31</v>
      </c>
      <c r="E303" t="s">
        <v>669</v>
      </c>
      <c r="F303">
        <v>31</v>
      </c>
      <c r="G303" t="s">
        <v>25</v>
      </c>
      <c r="H303" t="s">
        <v>423</v>
      </c>
      <c r="I303" t="s">
        <v>404</v>
      </c>
      <c r="J303" t="s">
        <v>580</v>
      </c>
      <c r="K303">
        <v>0.66800000000000015</v>
      </c>
      <c r="L303" s="1" t="s">
        <v>631</v>
      </c>
      <c r="M303" t="s">
        <v>670</v>
      </c>
      <c r="N303" s="1" t="s">
        <v>701</v>
      </c>
      <c r="O303">
        <v>0.66800000000000015</v>
      </c>
      <c r="P303" t="s">
        <v>423</v>
      </c>
      <c r="Q303" t="s">
        <v>634</v>
      </c>
      <c r="R303" s="1" t="s">
        <v>465</v>
      </c>
      <c r="S303" s="1" t="s">
        <v>406</v>
      </c>
      <c r="T303" s="1" t="s">
        <v>406</v>
      </c>
      <c r="U303" s="1" t="s">
        <v>429</v>
      </c>
      <c r="V303" s="1" t="s">
        <v>685</v>
      </c>
    </row>
    <row r="304" spans="1:22" x14ac:dyDescent="0.2">
      <c r="A304">
        <v>88</v>
      </c>
      <c r="B304" t="s">
        <v>197</v>
      </c>
      <c r="C304" t="s">
        <v>165</v>
      </c>
      <c r="D304" t="s">
        <v>31</v>
      </c>
      <c r="E304" t="s">
        <v>669</v>
      </c>
      <c r="F304">
        <v>31</v>
      </c>
      <c r="G304" t="s">
        <v>26</v>
      </c>
      <c r="H304" t="s">
        <v>496</v>
      </c>
      <c r="I304" t="s">
        <v>404</v>
      </c>
      <c r="J304" t="s">
        <v>580</v>
      </c>
      <c r="K304">
        <v>90.92</v>
      </c>
      <c r="L304" s="1" t="s">
        <v>631</v>
      </c>
      <c r="M304" t="s">
        <v>670</v>
      </c>
      <c r="N304" s="1" t="s">
        <v>702</v>
      </c>
      <c r="O304">
        <v>90.92</v>
      </c>
      <c r="P304" t="s">
        <v>496</v>
      </c>
      <c r="Q304" t="s">
        <v>634</v>
      </c>
      <c r="R304" s="1" t="s">
        <v>465</v>
      </c>
      <c r="S304" s="1" t="s">
        <v>406</v>
      </c>
      <c r="T304" s="1" t="s">
        <v>406</v>
      </c>
      <c r="U304" s="1" t="s">
        <v>635</v>
      </c>
      <c r="V304" s="1" t="s">
        <v>703</v>
      </c>
    </row>
    <row r="305" spans="1:22" x14ac:dyDescent="0.2">
      <c r="A305">
        <v>142</v>
      </c>
      <c r="B305" t="s">
        <v>302</v>
      </c>
      <c r="C305" t="s">
        <v>282</v>
      </c>
      <c r="D305" t="s">
        <v>1590</v>
      </c>
      <c r="E305" t="s">
        <v>1579</v>
      </c>
      <c r="F305">
        <v>137</v>
      </c>
      <c r="G305" t="s">
        <v>6</v>
      </c>
      <c r="H305" t="s">
        <v>493</v>
      </c>
      <c r="I305" t="s">
        <v>404</v>
      </c>
      <c r="J305" t="s">
        <v>580</v>
      </c>
      <c r="K305">
        <v>127.42</v>
      </c>
      <c r="L305" s="1" t="s">
        <v>704</v>
      </c>
      <c r="M305" t="s">
        <v>705</v>
      </c>
      <c r="N305" s="1" t="s">
        <v>706</v>
      </c>
      <c r="O305">
        <v>127.42</v>
      </c>
      <c r="P305" t="s">
        <v>493</v>
      </c>
      <c r="Q305" t="s">
        <v>634</v>
      </c>
      <c r="R305" s="1" t="s">
        <v>465</v>
      </c>
      <c r="S305" s="1" t="s">
        <v>406</v>
      </c>
      <c r="T305" s="1" t="s">
        <v>406</v>
      </c>
      <c r="U305" s="1" t="s">
        <v>1586</v>
      </c>
      <c r="V305" s="1" t="s">
        <v>707</v>
      </c>
    </row>
    <row r="306" spans="1:22" x14ac:dyDescent="0.2">
      <c r="A306">
        <v>142</v>
      </c>
      <c r="B306" t="s">
        <v>302</v>
      </c>
      <c r="C306" t="s">
        <v>282</v>
      </c>
      <c r="D306" t="s">
        <v>1590</v>
      </c>
      <c r="E306" t="s">
        <v>1579</v>
      </c>
      <c r="F306">
        <v>137</v>
      </c>
      <c r="G306" t="s">
        <v>7</v>
      </c>
      <c r="H306" t="s">
        <v>415</v>
      </c>
      <c r="I306" t="s">
        <v>404</v>
      </c>
      <c r="J306" t="s">
        <v>580</v>
      </c>
      <c r="K306">
        <v>1.0589999999999999</v>
      </c>
      <c r="L306" s="1" t="s">
        <v>704</v>
      </c>
      <c r="M306" t="s">
        <v>705</v>
      </c>
      <c r="N306" s="1" t="s">
        <v>708</v>
      </c>
      <c r="O306">
        <v>1.0589999999999999</v>
      </c>
      <c r="P306" t="s">
        <v>415</v>
      </c>
      <c r="Q306" t="s">
        <v>634</v>
      </c>
      <c r="R306" s="1" t="s">
        <v>465</v>
      </c>
      <c r="S306" s="1" t="s">
        <v>406</v>
      </c>
      <c r="T306" s="1" t="s">
        <v>406</v>
      </c>
      <c r="U306" s="1" t="s">
        <v>1586</v>
      </c>
      <c r="V306" s="1" t="s">
        <v>707</v>
      </c>
    </row>
    <row r="307" spans="1:22" x14ac:dyDescent="0.2">
      <c r="A307">
        <v>142</v>
      </c>
      <c r="B307" t="s">
        <v>302</v>
      </c>
      <c r="C307" t="s">
        <v>282</v>
      </c>
      <c r="D307" t="s">
        <v>1590</v>
      </c>
      <c r="E307" t="s">
        <v>1579</v>
      </c>
      <c r="F307">
        <v>137</v>
      </c>
      <c r="G307" t="s">
        <v>8</v>
      </c>
      <c r="H307" t="s">
        <v>415</v>
      </c>
      <c r="I307" t="s">
        <v>404</v>
      </c>
      <c r="J307" t="s">
        <v>580</v>
      </c>
      <c r="K307">
        <v>6.2709999999999999</v>
      </c>
      <c r="L307" s="1" t="s">
        <v>704</v>
      </c>
      <c r="M307" t="s">
        <v>705</v>
      </c>
      <c r="N307" s="1" t="s">
        <v>709</v>
      </c>
      <c r="O307">
        <v>6.2709999999999999</v>
      </c>
      <c r="P307" t="s">
        <v>415</v>
      </c>
      <c r="Q307" t="s">
        <v>634</v>
      </c>
      <c r="R307" s="1" t="s">
        <v>465</v>
      </c>
      <c r="S307" s="1" t="s">
        <v>406</v>
      </c>
      <c r="T307" s="1" t="s">
        <v>406</v>
      </c>
      <c r="U307" s="1" t="s">
        <v>1586</v>
      </c>
      <c r="V307" s="1" t="s">
        <v>707</v>
      </c>
    </row>
    <row r="308" spans="1:22" ht="16" customHeight="1" x14ac:dyDescent="0.2">
      <c r="A308">
        <v>142</v>
      </c>
      <c r="B308" t="s">
        <v>302</v>
      </c>
      <c r="C308" t="s">
        <v>282</v>
      </c>
      <c r="D308" t="s">
        <v>1590</v>
      </c>
      <c r="E308" t="s">
        <v>1579</v>
      </c>
      <c r="F308">
        <v>137</v>
      </c>
      <c r="G308" t="s">
        <v>9</v>
      </c>
      <c r="H308" t="s">
        <v>415</v>
      </c>
      <c r="I308" t="s">
        <v>404</v>
      </c>
      <c r="J308" t="s">
        <v>405</v>
      </c>
      <c r="K308">
        <v>0</v>
      </c>
      <c r="L308" s="11" t="s">
        <v>406</v>
      </c>
      <c r="M308" t="s">
        <v>416</v>
      </c>
      <c r="N308" s="11" t="s">
        <v>417</v>
      </c>
      <c r="O308" t="s">
        <v>418</v>
      </c>
      <c r="P308" t="s">
        <v>415</v>
      </c>
      <c r="Q308">
        <v>1</v>
      </c>
      <c r="R308" s="11" t="s">
        <v>406</v>
      </c>
      <c r="S308" s="11" t="s">
        <v>406</v>
      </c>
      <c r="T308" s="11" t="s">
        <v>406</v>
      </c>
      <c r="U308" s="11" t="s">
        <v>419</v>
      </c>
      <c r="V308" s="11" t="s">
        <v>420</v>
      </c>
    </row>
    <row r="309" spans="1:22" x14ac:dyDescent="0.2">
      <c r="A309">
        <v>142</v>
      </c>
      <c r="B309" t="s">
        <v>302</v>
      </c>
      <c r="C309" t="s">
        <v>282</v>
      </c>
      <c r="D309" t="s">
        <v>1590</v>
      </c>
      <c r="E309" t="s">
        <v>1579</v>
      </c>
      <c r="F309">
        <v>137</v>
      </c>
      <c r="G309" t="s">
        <v>10</v>
      </c>
      <c r="H309" t="s">
        <v>415</v>
      </c>
      <c r="I309" t="s">
        <v>404</v>
      </c>
      <c r="J309" t="s">
        <v>580</v>
      </c>
      <c r="K309">
        <v>16.616</v>
      </c>
      <c r="L309" s="1" t="s">
        <v>704</v>
      </c>
      <c r="M309" t="s">
        <v>705</v>
      </c>
      <c r="N309" s="1" t="s">
        <v>710</v>
      </c>
      <c r="O309">
        <v>16.616</v>
      </c>
      <c r="P309" t="s">
        <v>415</v>
      </c>
      <c r="Q309" t="s">
        <v>634</v>
      </c>
      <c r="R309" s="1" t="s">
        <v>465</v>
      </c>
      <c r="S309" s="1" t="s">
        <v>406</v>
      </c>
      <c r="T309" s="1" t="s">
        <v>406</v>
      </c>
      <c r="U309" s="1" t="s">
        <v>1586</v>
      </c>
      <c r="V309" s="1" t="s">
        <v>707</v>
      </c>
    </row>
    <row r="310" spans="1:22" x14ac:dyDescent="0.2">
      <c r="A310">
        <v>142</v>
      </c>
      <c r="B310" t="s">
        <v>302</v>
      </c>
      <c r="C310" t="s">
        <v>282</v>
      </c>
      <c r="D310" t="s">
        <v>1590</v>
      </c>
      <c r="E310" t="s">
        <v>1579</v>
      </c>
      <c r="F310">
        <v>137</v>
      </c>
      <c r="G310" t="s">
        <v>11</v>
      </c>
      <c r="H310" t="s">
        <v>415</v>
      </c>
      <c r="I310" t="s">
        <v>404</v>
      </c>
      <c r="J310" t="s">
        <v>580</v>
      </c>
      <c r="K310">
        <v>1.1160000000000001</v>
      </c>
      <c r="L310" s="1" t="s">
        <v>704</v>
      </c>
      <c r="M310" t="s">
        <v>705</v>
      </c>
      <c r="N310" s="1" t="s">
        <v>711</v>
      </c>
      <c r="O310">
        <v>1.1160000000000001</v>
      </c>
      <c r="P310" t="s">
        <v>415</v>
      </c>
      <c r="Q310" t="s">
        <v>634</v>
      </c>
      <c r="R310" s="1" t="s">
        <v>465</v>
      </c>
      <c r="S310" s="1" t="s">
        <v>406</v>
      </c>
      <c r="T310" s="1" t="s">
        <v>406</v>
      </c>
      <c r="U310" s="1" t="s">
        <v>1586</v>
      </c>
      <c r="V310" s="1" t="s">
        <v>707</v>
      </c>
    </row>
    <row r="311" spans="1:22" x14ac:dyDescent="0.2">
      <c r="A311">
        <v>142</v>
      </c>
      <c r="B311" t="s">
        <v>302</v>
      </c>
      <c r="C311" t="s">
        <v>282</v>
      </c>
      <c r="D311" t="s">
        <v>1590</v>
      </c>
      <c r="E311" t="s">
        <v>1579</v>
      </c>
      <c r="F311">
        <v>137</v>
      </c>
      <c r="G311" t="s">
        <v>12</v>
      </c>
      <c r="H311" t="s">
        <v>415</v>
      </c>
      <c r="I311" t="s">
        <v>404</v>
      </c>
      <c r="J311" t="s">
        <v>580</v>
      </c>
      <c r="K311">
        <v>3.548999999999999</v>
      </c>
      <c r="L311" s="1" t="s">
        <v>704</v>
      </c>
      <c r="M311" t="s">
        <v>705</v>
      </c>
      <c r="N311" s="1" t="s">
        <v>712</v>
      </c>
      <c r="O311">
        <v>3.548999999999999</v>
      </c>
      <c r="P311" t="s">
        <v>415</v>
      </c>
      <c r="Q311" t="s">
        <v>634</v>
      </c>
      <c r="R311" s="1" t="s">
        <v>465</v>
      </c>
      <c r="S311" s="1" t="s">
        <v>406</v>
      </c>
      <c r="T311" s="1" t="s">
        <v>406</v>
      </c>
      <c r="U311" s="1" t="s">
        <v>1586</v>
      </c>
      <c r="V311" s="1" t="s">
        <v>707</v>
      </c>
    </row>
    <row r="312" spans="1:22" x14ac:dyDescent="0.2">
      <c r="A312">
        <v>142</v>
      </c>
      <c r="B312" t="s">
        <v>302</v>
      </c>
      <c r="C312" t="s">
        <v>282</v>
      </c>
      <c r="D312" t="s">
        <v>1590</v>
      </c>
      <c r="E312" t="s">
        <v>1579</v>
      </c>
      <c r="F312">
        <v>137</v>
      </c>
      <c r="G312" t="s">
        <v>13</v>
      </c>
      <c r="H312" t="s">
        <v>403</v>
      </c>
      <c r="I312" t="s">
        <v>404</v>
      </c>
      <c r="J312" t="s">
        <v>580</v>
      </c>
      <c r="K312">
        <v>0</v>
      </c>
      <c r="L312" s="1" t="s">
        <v>704</v>
      </c>
      <c r="M312" t="s">
        <v>705</v>
      </c>
      <c r="N312" s="1" t="s">
        <v>713</v>
      </c>
      <c r="O312">
        <v>0</v>
      </c>
      <c r="P312" t="s">
        <v>403</v>
      </c>
      <c r="Q312" t="s">
        <v>634</v>
      </c>
      <c r="R312" s="1" t="s">
        <v>465</v>
      </c>
      <c r="S312" s="1" t="s">
        <v>406</v>
      </c>
      <c r="T312" s="1" t="s">
        <v>406</v>
      </c>
      <c r="U312" s="1" t="s">
        <v>1586</v>
      </c>
      <c r="V312" s="1" t="s">
        <v>707</v>
      </c>
    </row>
    <row r="313" spans="1:22" x14ac:dyDescent="0.2">
      <c r="A313">
        <v>142</v>
      </c>
      <c r="B313" t="s">
        <v>302</v>
      </c>
      <c r="C313" t="s">
        <v>282</v>
      </c>
      <c r="D313" t="s">
        <v>1590</v>
      </c>
      <c r="E313" t="s">
        <v>1579</v>
      </c>
      <c r="F313">
        <v>137</v>
      </c>
      <c r="G313" t="s">
        <v>14</v>
      </c>
      <c r="H313" t="s">
        <v>403</v>
      </c>
      <c r="I313" t="s">
        <v>404</v>
      </c>
      <c r="J313" t="s">
        <v>580</v>
      </c>
      <c r="K313">
        <v>4169.3099999999986</v>
      </c>
      <c r="L313" s="1" t="s">
        <v>704</v>
      </c>
      <c r="M313" t="s">
        <v>705</v>
      </c>
      <c r="N313" s="1" t="s">
        <v>714</v>
      </c>
      <c r="O313">
        <v>4169.3099999999986</v>
      </c>
      <c r="P313" t="s">
        <v>403</v>
      </c>
      <c r="Q313" t="s">
        <v>634</v>
      </c>
      <c r="R313" s="1" t="s">
        <v>465</v>
      </c>
      <c r="S313" s="1" t="s">
        <v>406</v>
      </c>
      <c r="T313" s="1" t="s">
        <v>406</v>
      </c>
      <c r="U313" s="1" t="s">
        <v>1586</v>
      </c>
      <c r="V313" s="1" t="s">
        <v>707</v>
      </c>
    </row>
    <row r="314" spans="1:22" x14ac:dyDescent="0.2">
      <c r="A314">
        <v>142</v>
      </c>
      <c r="B314" t="s">
        <v>302</v>
      </c>
      <c r="C314" t="s">
        <v>282</v>
      </c>
      <c r="D314" t="s">
        <v>1590</v>
      </c>
      <c r="E314" t="s">
        <v>1579</v>
      </c>
      <c r="F314">
        <v>137</v>
      </c>
      <c r="G314" t="s">
        <v>15</v>
      </c>
      <c r="H314" t="s">
        <v>423</v>
      </c>
      <c r="I314" t="s">
        <v>404</v>
      </c>
      <c r="J314" t="s">
        <v>580</v>
      </c>
      <c r="K314">
        <v>4.9099999999999998E-2</v>
      </c>
      <c r="L314" s="1" t="s">
        <v>704</v>
      </c>
      <c r="M314" t="s">
        <v>705</v>
      </c>
      <c r="N314" s="1" t="s">
        <v>715</v>
      </c>
      <c r="O314">
        <v>4.9099999999999998E-2</v>
      </c>
      <c r="P314" t="s">
        <v>423</v>
      </c>
      <c r="Q314" t="s">
        <v>634</v>
      </c>
      <c r="R314" s="1" t="s">
        <v>465</v>
      </c>
      <c r="S314" s="1" t="s">
        <v>406</v>
      </c>
      <c r="T314" s="1" t="s">
        <v>406</v>
      </c>
      <c r="U314" s="1" t="s">
        <v>1586</v>
      </c>
      <c r="V314" s="1" t="s">
        <v>707</v>
      </c>
    </row>
    <row r="315" spans="1:22" x14ac:dyDescent="0.2">
      <c r="A315">
        <v>142</v>
      </c>
      <c r="B315" t="s">
        <v>302</v>
      </c>
      <c r="C315" t="s">
        <v>282</v>
      </c>
      <c r="D315" t="s">
        <v>1590</v>
      </c>
      <c r="E315" t="s">
        <v>1579</v>
      </c>
      <c r="F315">
        <v>137</v>
      </c>
      <c r="G315" t="s">
        <v>16</v>
      </c>
      <c r="H315" t="s">
        <v>423</v>
      </c>
      <c r="I315" t="s">
        <v>404</v>
      </c>
      <c r="J315" t="s">
        <v>580</v>
      </c>
      <c r="K315">
        <v>6.4399999999999999E-2</v>
      </c>
      <c r="L315" s="1" t="s">
        <v>704</v>
      </c>
      <c r="M315" t="s">
        <v>705</v>
      </c>
      <c r="N315" s="1" t="s">
        <v>716</v>
      </c>
      <c r="O315">
        <v>6.4399999999999999E-2</v>
      </c>
      <c r="P315" t="s">
        <v>423</v>
      </c>
      <c r="Q315" t="s">
        <v>634</v>
      </c>
      <c r="R315" s="1" t="s">
        <v>465</v>
      </c>
      <c r="S315" s="1" t="s">
        <v>406</v>
      </c>
      <c r="T315" s="1" t="s">
        <v>406</v>
      </c>
      <c r="U315" s="1" t="s">
        <v>1586</v>
      </c>
      <c r="V315" s="1" t="s">
        <v>707</v>
      </c>
    </row>
    <row r="316" spans="1:22" x14ac:dyDescent="0.2">
      <c r="A316">
        <v>142</v>
      </c>
      <c r="B316" t="s">
        <v>302</v>
      </c>
      <c r="C316" t="s">
        <v>282</v>
      </c>
      <c r="D316" t="s">
        <v>1590</v>
      </c>
      <c r="E316" t="s">
        <v>1579</v>
      </c>
      <c r="F316">
        <v>137</v>
      </c>
      <c r="G316" t="s">
        <v>17</v>
      </c>
      <c r="H316" t="s">
        <v>423</v>
      </c>
      <c r="I316" t="s">
        <v>404</v>
      </c>
      <c r="J316" t="s">
        <v>580</v>
      </c>
      <c r="K316">
        <v>1.629</v>
      </c>
      <c r="L316" s="1" t="s">
        <v>704</v>
      </c>
      <c r="M316" t="s">
        <v>705</v>
      </c>
      <c r="N316" s="1" t="s">
        <v>717</v>
      </c>
      <c r="O316">
        <v>1.629</v>
      </c>
      <c r="P316" t="s">
        <v>423</v>
      </c>
      <c r="Q316" t="s">
        <v>634</v>
      </c>
      <c r="R316" s="1" t="s">
        <v>465</v>
      </c>
      <c r="S316" s="1" t="s">
        <v>406</v>
      </c>
      <c r="T316" s="1" t="s">
        <v>406</v>
      </c>
      <c r="U316" s="1" t="s">
        <v>1586</v>
      </c>
      <c r="V316" s="1" t="s">
        <v>707</v>
      </c>
    </row>
    <row r="317" spans="1:22" x14ac:dyDescent="0.2">
      <c r="A317">
        <v>142</v>
      </c>
      <c r="B317" t="s">
        <v>302</v>
      </c>
      <c r="C317" t="s">
        <v>282</v>
      </c>
      <c r="D317" t="s">
        <v>1590</v>
      </c>
      <c r="E317" t="s">
        <v>1579</v>
      </c>
      <c r="F317">
        <v>137</v>
      </c>
      <c r="G317" t="s">
        <v>18</v>
      </c>
      <c r="H317" t="s">
        <v>423</v>
      </c>
      <c r="I317" t="s">
        <v>404</v>
      </c>
      <c r="J317" t="s">
        <v>580</v>
      </c>
      <c r="K317">
        <v>16.170000000000002</v>
      </c>
      <c r="L317" s="1" t="s">
        <v>704</v>
      </c>
      <c r="M317" t="s">
        <v>705</v>
      </c>
      <c r="N317" s="1" t="s">
        <v>718</v>
      </c>
      <c r="O317">
        <v>16.170000000000002</v>
      </c>
      <c r="P317" t="s">
        <v>423</v>
      </c>
      <c r="Q317" t="s">
        <v>634</v>
      </c>
      <c r="R317" s="1" t="s">
        <v>465</v>
      </c>
      <c r="S317" s="1" t="s">
        <v>406</v>
      </c>
      <c r="T317" s="1" t="s">
        <v>406</v>
      </c>
      <c r="U317" s="1" t="s">
        <v>1586</v>
      </c>
      <c r="V317" s="1" t="s">
        <v>707</v>
      </c>
    </row>
    <row r="318" spans="1:22" x14ac:dyDescent="0.2">
      <c r="A318">
        <v>142</v>
      </c>
      <c r="B318" t="s">
        <v>302</v>
      </c>
      <c r="C318" t="s">
        <v>282</v>
      </c>
      <c r="D318" t="s">
        <v>1590</v>
      </c>
      <c r="E318" t="s">
        <v>1579</v>
      </c>
      <c r="F318">
        <v>137</v>
      </c>
      <c r="G318" t="s">
        <v>19</v>
      </c>
      <c r="H318" t="s">
        <v>423</v>
      </c>
      <c r="I318" t="s">
        <v>404</v>
      </c>
      <c r="J318" t="s">
        <v>580</v>
      </c>
      <c r="K318">
        <v>22.54</v>
      </c>
      <c r="L318" s="1" t="s">
        <v>704</v>
      </c>
      <c r="M318" t="s">
        <v>705</v>
      </c>
      <c r="N318" s="1" t="s">
        <v>719</v>
      </c>
      <c r="O318">
        <v>22.54</v>
      </c>
      <c r="P318" t="s">
        <v>423</v>
      </c>
      <c r="Q318" t="s">
        <v>634</v>
      </c>
      <c r="R318" s="1" t="s">
        <v>465</v>
      </c>
      <c r="S318" s="1" t="s">
        <v>406</v>
      </c>
      <c r="T318" s="1" t="s">
        <v>406</v>
      </c>
      <c r="U318" s="1" t="s">
        <v>1586</v>
      </c>
      <c r="V318" s="1" t="s">
        <v>707</v>
      </c>
    </row>
    <row r="319" spans="1:22" x14ac:dyDescent="0.2">
      <c r="A319">
        <v>142</v>
      </c>
      <c r="B319" t="s">
        <v>302</v>
      </c>
      <c r="C319" t="s">
        <v>282</v>
      </c>
      <c r="D319" t="s">
        <v>1590</v>
      </c>
      <c r="E319" t="s">
        <v>1579</v>
      </c>
      <c r="F319">
        <v>137</v>
      </c>
      <c r="G319" t="s">
        <v>20</v>
      </c>
      <c r="H319" t="s">
        <v>423</v>
      </c>
      <c r="I319" t="s">
        <v>404</v>
      </c>
      <c r="J319" t="s">
        <v>580</v>
      </c>
      <c r="K319">
        <v>9.4500000000000015E-2</v>
      </c>
      <c r="L319" s="1" t="s">
        <v>704</v>
      </c>
      <c r="M319" t="s">
        <v>705</v>
      </c>
      <c r="N319" s="1" t="s">
        <v>720</v>
      </c>
      <c r="O319">
        <v>9.4500000000000015E-2</v>
      </c>
      <c r="P319" t="s">
        <v>423</v>
      </c>
      <c r="Q319" t="s">
        <v>634</v>
      </c>
      <c r="R319" s="1" t="s">
        <v>465</v>
      </c>
      <c r="S319" s="1" t="s">
        <v>406</v>
      </c>
      <c r="T319" s="1" t="s">
        <v>406</v>
      </c>
      <c r="U319" s="1" t="s">
        <v>1586</v>
      </c>
      <c r="V319" s="1" t="s">
        <v>707</v>
      </c>
    </row>
    <row r="320" spans="1:22" x14ac:dyDescent="0.2">
      <c r="A320">
        <v>142</v>
      </c>
      <c r="B320" t="s">
        <v>302</v>
      </c>
      <c r="C320" t="s">
        <v>282</v>
      </c>
      <c r="D320" t="s">
        <v>1590</v>
      </c>
      <c r="E320" t="s">
        <v>1579</v>
      </c>
      <c r="F320">
        <v>137</v>
      </c>
      <c r="G320" t="s">
        <v>21</v>
      </c>
      <c r="H320" t="s">
        <v>423</v>
      </c>
      <c r="I320" t="s">
        <v>404</v>
      </c>
      <c r="J320" t="s">
        <v>580</v>
      </c>
      <c r="K320">
        <v>0.47199999999999998</v>
      </c>
      <c r="L320" s="1" t="s">
        <v>704</v>
      </c>
      <c r="M320" t="s">
        <v>705</v>
      </c>
      <c r="N320" s="1" t="s">
        <v>721</v>
      </c>
      <c r="O320">
        <v>0.47199999999999998</v>
      </c>
      <c r="P320" t="s">
        <v>423</v>
      </c>
      <c r="Q320" t="s">
        <v>634</v>
      </c>
      <c r="R320" s="1" t="s">
        <v>465</v>
      </c>
      <c r="S320" s="1" t="s">
        <v>406</v>
      </c>
      <c r="T320" s="1" t="s">
        <v>406</v>
      </c>
      <c r="U320" s="1" t="s">
        <v>1586</v>
      </c>
      <c r="V320" s="1" t="s">
        <v>707</v>
      </c>
    </row>
    <row r="321" spans="1:22" x14ac:dyDescent="0.2">
      <c r="A321">
        <v>142</v>
      </c>
      <c r="B321" t="s">
        <v>302</v>
      </c>
      <c r="C321" t="s">
        <v>282</v>
      </c>
      <c r="D321" t="s">
        <v>1590</v>
      </c>
      <c r="E321" t="s">
        <v>1579</v>
      </c>
      <c r="F321">
        <v>137</v>
      </c>
      <c r="G321" t="s">
        <v>22</v>
      </c>
      <c r="H321" t="s">
        <v>423</v>
      </c>
      <c r="I321" t="s">
        <v>404</v>
      </c>
      <c r="J321" t="s">
        <v>580</v>
      </c>
      <c r="K321">
        <v>35.31</v>
      </c>
      <c r="L321" s="1" t="s">
        <v>704</v>
      </c>
      <c r="M321" t="s">
        <v>705</v>
      </c>
      <c r="N321" s="1" t="s">
        <v>722</v>
      </c>
      <c r="O321">
        <v>35.31</v>
      </c>
      <c r="P321" t="s">
        <v>423</v>
      </c>
      <c r="Q321" t="s">
        <v>634</v>
      </c>
      <c r="R321" s="1" t="s">
        <v>465</v>
      </c>
      <c r="S321" s="1" t="s">
        <v>406</v>
      </c>
      <c r="T321" s="1" t="s">
        <v>406</v>
      </c>
      <c r="U321" s="1" t="s">
        <v>1586</v>
      </c>
      <c r="V321" s="1" t="s">
        <v>707</v>
      </c>
    </row>
    <row r="322" spans="1:22" x14ac:dyDescent="0.2">
      <c r="A322">
        <v>142</v>
      </c>
      <c r="B322" t="s">
        <v>302</v>
      </c>
      <c r="C322" t="s">
        <v>282</v>
      </c>
      <c r="D322" t="s">
        <v>1590</v>
      </c>
      <c r="E322" t="s">
        <v>1579</v>
      </c>
      <c r="F322">
        <v>137</v>
      </c>
      <c r="G322" t="s">
        <v>23</v>
      </c>
      <c r="H322" t="s">
        <v>423</v>
      </c>
      <c r="I322" t="s">
        <v>404</v>
      </c>
      <c r="J322" t="s">
        <v>580</v>
      </c>
      <c r="K322">
        <v>213.18950000000001</v>
      </c>
      <c r="L322" s="1" t="s">
        <v>704</v>
      </c>
      <c r="M322" t="s">
        <v>705</v>
      </c>
      <c r="N322" s="1" t="s">
        <v>723</v>
      </c>
      <c r="O322">
        <v>213.18950000000001</v>
      </c>
      <c r="P322" t="s">
        <v>423</v>
      </c>
      <c r="Q322" t="s">
        <v>634</v>
      </c>
      <c r="R322" s="1" t="s">
        <v>465</v>
      </c>
      <c r="S322" s="1" t="s">
        <v>406</v>
      </c>
      <c r="T322" s="1" t="s">
        <v>406</v>
      </c>
      <c r="U322" s="1" t="s">
        <v>1586</v>
      </c>
      <c r="V322" s="1" t="s">
        <v>707</v>
      </c>
    </row>
    <row r="323" spans="1:22" x14ac:dyDescent="0.2">
      <c r="A323">
        <v>142</v>
      </c>
      <c r="B323" t="s">
        <v>302</v>
      </c>
      <c r="C323" t="s">
        <v>282</v>
      </c>
      <c r="D323" t="s">
        <v>1590</v>
      </c>
      <c r="E323" t="s">
        <v>1579</v>
      </c>
      <c r="F323">
        <v>137</v>
      </c>
      <c r="G323" t="s">
        <v>24</v>
      </c>
      <c r="H323" t="s">
        <v>423</v>
      </c>
      <c r="I323" t="s">
        <v>404</v>
      </c>
      <c r="J323" t="s">
        <v>580</v>
      </c>
      <c r="K323">
        <v>1177.3240000000001</v>
      </c>
      <c r="L323" s="1" t="s">
        <v>704</v>
      </c>
      <c r="M323" t="s">
        <v>705</v>
      </c>
      <c r="N323" s="1" t="s">
        <v>724</v>
      </c>
      <c r="O323">
        <v>1177.3240000000001</v>
      </c>
      <c r="P323" t="s">
        <v>423</v>
      </c>
      <c r="Q323" t="s">
        <v>634</v>
      </c>
      <c r="R323" s="1" t="s">
        <v>465</v>
      </c>
      <c r="S323" s="1" t="s">
        <v>406</v>
      </c>
      <c r="T323" s="1" t="s">
        <v>406</v>
      </c>
      <c r="U323" s="1" t="s">
        <v>1586</v>
      </c>
      <c r="V323" s="1" t="s">
        <v>707</v>
      </c>
    </row>
    <row r="324" spans="1:22" x14ac:dyDescent="0.2">
      <c r="A324">
        <v>142</v>
      </c>
      <c r="B324" t="s">
        <v>302</v>
      </c>
      <c r="C324" t="s">
        <v>282</v>
      </c>
      <c r="D324" t="s">
        <v>1590</v>
      </c>
      <c r="E324" t="s">
        <v>1579</v>
      </c>
      <c r="F324">
        <v>137</v>
      </c>
      <c r="G324" t="s">
        <v>25</v>
      </c>
      <c r="H324" t="s">
        <v>423</v>
      </c>
      <c r="I324" t="s">
        <v>404</v>
      </c>
      <c r="J324" t="s">
        <v>580</v>
      </c>
      <c r="K324">
        <v>0.17</v>
      </c>
      <c r="L324" s="1" t="s">
        <v>704</v>
      </c>
      <c r="M324" t="s">
        <v>705</v>
      </c>
      <c r="N324" s="1" t="s">
        <v>725</v>
      </c>
      <c r="O324">
        <v>0.17</v>
      </c>
      <c r="P324" t="s">
        <v>423</v>
      </c>
      <c r="Q324" t="s">
        <v>634</v>
      </c>
      <c r="R324" s="1" t="s">
        <v>465</v>
      </c>
      <c r="S324" s="1" t="s">
        <v>406</v>
      </c>
      <c r="T324" s="1" t="s">
        <v>406</v>
      </c>
      <c r="U324" s="1" t="s">
        <v>1586</v>
      </c>
      <c r="V324" s="1" t="s">
        <v>707</v>
      </c>
    </row>
    <row r="325" spans="1:22" x14ac:dyDescent="0.2">
      <c r="A325">
        <v>142</v>
      </c>
      <c r="B325" t="s">
        <v>302</v>
      </c>
      <c r="C325" t="s">
        <v>282</v>
      </c>
      <c r="D325" t="s">
        <v>1590</v>
      </c>
      <c r="E325" t="s">
        <v>1579</v>
      </c>
      <c r="F325">
        <v>137</v>
      </c>
      <c r="G325" t="s">
        <v>26</v>
      </c>
      <c r="H325" t="s">
        <v>496</v>
      </c>
      <c r="I325" t="s">
        <v>404</v>
      </c>
      <c r="J325" t="s">
        <v>580</v>
      </c>
      <c r="K325">
        <v>91.15</v>
      </c>
      <c r="L325" s="1" t="s">
        <v>704</v>
      </c>
      <c r="M325" t="s">
        <v>705</v>
      </c>
      <c r="N325" s="1" t="s">
        <v>726</v>
      </c>
      <c r="O325">
        <v>91.15</v>
      </c>
      <c r="P325" t="s">
        <v>496</v>
      </c>
      <c r="Q325" t="s">
        <v>634</v>
      </c>
      <c r="R325" s="1" t="s">
        <v>465</v>
      </c>
      <c r="S325" s="1" t="s">
        <v>406</v>
      </c>
      <c r="T325" s="1" t="s">
        <v>406</v>
      </c>
      <c r="U325" s="1" t="s">
        <v>1586</v>
      </c>
      <c r="V325" s="1" t="s">
        <v>727</v>
      </c>
    </row>
    <row r="326" spans="1:22" x14ac:dyDescent="0.2">
      <c r="A326">
        <v>144</v>
      </c>
      <c r="B326" t="s">
        <v>307</v>
      </c>
      <c r="C326" t="s">
        <v>282</v>
      </c>
      <c r="D326" t="s">
        <v>477</v>
      </c>
      <c r="E326" t="s">
        <v>728</v>
      </c>
      <c r="F326">
        <v>1146</v>
      </c>
      <c r="G326" t="s">
        <v>6</v>
      </c>
      <c r="H326" t="s">
        <v>493</v>
      </c>
      <c r="I326" t="s">
        <v>404</v>
      </c>
      <c r="J326" t="s">
        <v>580</v>
      </c>
      <c r="K326">
        <v>209.2</v>
      </c>
      <c r="L326" s="1" t="s">
        <v>631</v>
      </c>
      <c r="M326" t="s">
        <v>729</v>
      </c>
      <c r="N326" s="1" t="s">
        <v>730</v>
      </c>
      <c r="O326">
        <v>209.2</v>
      </c>
      <c r="P326" t="s">
        <v>493</v>
      </c>
      <c r="Q326" t="s">
        <v>634</v>
      </c>
      <c r="R326" s="1" t="s">
        <v>465</v>
      </c>
      <c r="S326" s="1" t="s">
        <v>406</v>
      </c>
      <c r="T326" s="1" t="s">
        <v>406</v>
      </c>
      <c r="U326" s="1" t="s">
        <v>731</v>
      </c>
      <c r="V326" s="1" t="s">
        <v>732</v>
      </c>
    </row>
    <row r="327" spans="1:22" x14ac:dyDescent="0.2">
      <c r="A327">
        <v>144</v>
      </c>
      <c r="B327" t="s">
        <v>307</v>
      </c>
      <c r="C327" t="s">
        <v>282</v>
      </c>
      <c r="D327" t="s">
        <v>477</v>
      </c>
      <c r="E327" t="s">
        <v>728</v>
      </c>
      <c r="F327">
        <v>1146</v>
      </c>
      <c r="G327" t="s">
        <v>7</v>
      </c>
      <c r="H327" t="s">
        <v>415</v>
      </c>
      <c r="I327" t="s">
        <v>404</v>
      </c>
      <c r="J327" t="s">
        <v>580</v>
      </c>
      <c r="K327">
        <v>3.9430000000000001</v>
      </c>
      <c r="L327" s="1" t="s">
        <v>631</v>
      </c>
      <c r="M327" t="s">
        <v>729</v>
      </c>
      <c r="N327" s="1" t="s">
        <v>733</v>
      </c>
      <c r="O327">
        <v>3.9430000000000001</v>
      </c>
      <c r="P327" t="s">
        <v>415</v>
      </c>
      <c r="Q327" t="s">
        <v>634</v>
      </c>
      <c r="R327" s="1" t="s">
        <v>465</v>
      </c>
      <c r="S327" s="1" t="s">
        <v>406</v>
      </c>
      <c r="T327" s="1" t="s">
        <v>406</v>
      </c>
      <c r="U327" s="1" t="s">
        <v>731</v>
      </c>
      <c r="V327" s="1" t="s">
        <v>734</v>
      </c>
    </row>
    <row r="328" spans="1:22" x14ac:dyDescent="0.2">
      <c r="A328">
        <v>144</v>
      </c>
      <c r="B328" t="s">
        <v>307</v>
      </c>
      <c r="C328" t="s">
        <v>282</v>
      </c>
      <c r="D328" t="s">
        <v>477</v>
      </c>
      <c r="E328" t="s">
        <v>728</v>
      </c>
      <c r="F328">
        <v>1146</v>
      </c>
      <c r="G328" t="s">
        <v>8</v>
      </c>
      <c r="H328" t="s">
        <v>415</v>
      </c>
      <c r="I328" t="s">
        <v>404</v>
      </c>
      <c r="J328" t="s">
        <v>580</v>
      </c>
      <c r="K328">
        <v>14.499000000000001</v>
      </c>
      <c r="L328" s="1" t="s">
        <v>631</v>
      </c>
      <c r="M328" t="s">
        <v>729</v>
      </c>
      <c r="N328" s="1" t="s">
        <v>735</v>
      </c>
      <c r="O328">
        <v>14.499000000000001</v>
      </c>
      <c r="P328" t="s">
        <v>415</v>
      </c>
      <c r="Q328" t="s">
        <v>634</v>
      </c>
      <c r="R328" s="1" t="s">
        <v>465</v>
      </c>
      <c r="S328" s="1" t="s">
        <v>406</v>
      </c>
      <c r="T328" s="1" t="s">
        <v>406</v>
      </c>
      <c r="U328" s="1" t="s">
        <v>731</v>
      </c>
      <c r="V328" s="1" t="s">
        <v>736</v>
      </c>
    </row>
    <row r="329" spans="1:22" ht="16" customHeight="1" x14ac:dyDescent="0.2">
      <c r="A329">
        <v>144</v>
      </c>
      <c r="B329" t="s">
        <v>307</v>
      </c>
      <c r="C329" t="s">
        <v>282</v>
      </c>
      <c r="D329" t="s">
        <v>477</v>
      </c>
      <c r="E329" t="s">
        <v>728</v>
      </c>
      <c r="F329">
        <v>1146</v>
      </c>
      <c r="G329" t="s">
        <v>9</v>
      </c>
      <c r="H329" t="s">
        <v>415</v>
      </c>
      <c r="I329" t="s">
        <v>404</v>
      </c>
      <c r="J329" t="s">
        <v>405</v>
      </c>
      <c r="K329">
        <v>0</v>
      </c>
      <c r="L329" s="11" t="s">
        <v>406</v>
      </c>
      <c r="M329" t="s">
        <v>416</v>
      </c>
      <c r="N329" s="11" t="s">
        <v>417</v>
      </c>
      <c r="O329" t="s">
        <v>418</v>
      </c>
      <c r="P329" t="s">
        <v>415</v>
      </c>
      <c r="Q329">
        <v>1</v>
      </c>
      <c r="R329" s="11" t="s">
        <v>406</v>
      </c>
      <c r="S329" s="11" t="s">
        <v>406</v>
      </c>
      <c r="T329" s="11" t="s">
        <v>406</v>
      </c>
      <c r="U329" s="11" t="s">
        <v>419</v>
      </c>
      <c r="V329" s="11" t="s">
        <v>420</v>
      </c>
    </row>
    <row r="330" spans="1:22" x14ac:dyDescent="0.2">
      <c r="A330">
        <v>144</v>
      </c>
      <c r="B330" t="s">
        <v>307</v>
      </c>
      <c r="C330" t="s">
        <v>282</v>
      </c>
      <c r="D330" t="s">
        <v>477</v>
      </c>
      <c r="E330" t="s">
        <v>728</v>
      </c>
      <c r="F330">
        <v>1146</v>
      </c>
      <c r="G330" t="s">
        <v>10</v>
      </c>
      <c r="H330" t="s">
        <v>415</v>
      </c>
      <c r="I330" t="s">
        <v>404</v>
      </c>
      <c r="J330" t="s">
        <v>580</v>
      </c>
      <c r="K330">
        <v>16.308</v>
      </c>
      <c r="L330" s="1" t="s">
        <v>631</v>
      </c>
      <c r="M330" t="s">
        <v>729</v>
      </c>
      <c r="N330" s="1" t="s">
        <v>737</v>
      </c>
      <c r="O330">
        <v>16.308</v>
      </c>
      <c r="P330" t="s">
        <v>415</v>
      </c>
      <c r="Q330" t="s">
        <v>634</v>
      </c>
      <c r="R330" s="1" t="s">
        <v>465</v>
      </c>
      <c r="S330" s="1" t="s">
        <v>406</v>
      </c>
      <c r="T330" s="1" t="s">
        <v>406</v>
      </c>
      <c r="U330" s="1" t="s">
        <v>731</v>
      </c>
      <c r="V330" s="1" t="s">
        <v>738</v>
      </c>
    </row>
    <row r="331" spans="1:22" x14ac:dyDescent="0.2">
      <c r="A331">
        <v>144</v>
      </c>
      <c r="B331" t="s">
        <v>307</v>
      </c>
      <c r="C331" t="s">
        <v>282</v>
      </c>
      <c r="D331" t="s">
        <v>477</v>
      </c>
      <c r="E331" t="s">
        <v>728</v>
      </c>
      <c r="F331">
        <v>1146</v>
      </c>
      <c r="G331" t="s">
        <v>11</v>
      </c>
      <c r="H331" t="s">
        <v>415</v>
      </c>
      <c r="I331" t="s">
        <v>404</v>
      </c>
      <c r="J331" t="s">
        <v>580</v>
      </c>
      <c r="K331">
        <v>2.734</v>
      </c>
      <c r="L331" s="1" t="s">
        <v>631</v>
      </c>
      <c r="M331" t="s">
        <v>729</v>
      </c>
      <c r="N331" s="1" t="s">
        <v>739</v>
      </c>
      <c r="O331">
        <v>2.734</v>
      </c>
      <c r="P331" t="s">
        <v>415</v>
      </c>
      <c r="Q331" t="s">
        <v>634</v>
      </c>
      <c r="R331" s="1" t="s">
        <v>465</v>
      </c>
      <c r="S331" s="1" t="s">
        <v>406</v>
      </c>
      <c r="T331" s="1" t="s">
        <v>406</v>
      </c>
      <c r="U331" s="1" t="s">
        <v>731</v>
      </c>
      <c r="V331" s="1" t="s">
        <v>740</v>
      </c>
    </row>
    <row r="332" spans="1:22" x14ac:dyDescent="0.2">
      <c r="A332">
        <v>144</v>
      </c>
      <c r="B332" t="s">
        <v>307</v>
      </c>
      <c r="C332" t="s">
        <v>282</v>
      </c>
      <c r="D332" t="s">
        <v>477</v>
      </c>
      <c r="E332" t="s">
        <v>728</v>
      </c>
      <c r="F332">
        <v>1146</v>
      </c>
      <c r="G332" t="s">
        <v>12</v>
      </c>
      <c r="H332" t="s">
        <v>415</v>
      </c>
      <c r="I332" t="s">
        <v>404</v>
      </c>
      <c r="J332" t="s">
        <v>580</v>
      </c>
      <c r="K332">
        <v>1.343</v>
      </c>
      <c r="L332" s="1" t="s">
        <v>631</v>
      </c>
      <c r="M332" t="s">
        <v>729</v>
      </c>
      <c r="N332" s="1" t="s">
        <v>741</v>
      </c>
      <c r="O332">
        <v>1.343</v>
      </c>
      <c r="P332" t="s">
        <v>415</v>
      </c>
      <c r="Q332" t="s">
        <v>634</v>
      </c>
      <c r="R332" s="1" t="s">
        <v>465</v>
      </c>
      <c r="S332" s="1" t="s">
        <v>406</v>
      </c>
      <c r="T332" s="1" t="s">
        <v>406</v>
      </c>
      <c r="U332" s="1" t="s">
        <v>483</v>
      </c>
      <c r="V332" s="1" t="s">
        <v>742</v>
      </c>
    </row>
    <row r="333" spans="1:22" x14ac:dyDescent="0.2">
      <c r="A333">
        <v>144</v>
      </c>
      <c r="B333" t="s">
        <v>307</v>
      </c>
      <c r="C333" t="s">
        <v>282</v>
      </c>
      <c r="D333" t="s">
        <v>477</v>
      </c>
      <c r="E333" t="s">
        <v>728</v>
      </c>
      <c r="F333">
        <v>1146</v>
      </c>
      <c r="G333" t="s">
        <v>13</v>
      </c>
      <c r="H333" t="s">
        <v>403</v>
      </c>
      <c r="I333" t="s">
        <v>404</v>
      </c>
      <c r="J333" t="s">
        <v>580</v>
      </c>
      <c r="K333">
        <v>0</v>
      </c>
      <c r="L333" s="1" t="s">
        <v>631</v>
      </c>
      <c r="M333" t="s">
        <v>729</v>
      </c>
      <c r="N333" s="1" t="s">
        <v>743</v>
      </c>
      <c r="O333">
        <v>0</v>
      </c>
      <c r="P333" t="s">
        <v>403</v>
      </c>
      <c r="Q333" t="s">
        <v>634</v>
      </c>
      <c r="R333" s="1" t="s">
        <v>465</v>
      </c>
      <c r="S333" s="1" t="s">
        <v>406</v>
      </c>
      <c r="T333" s="1" t="s">
        <v>406</v>
      </c>
      <c r="U333" s="1" t="s">
        <v>483</v>
      </c>
      <c r="V333" s="1" t="s">
        <v>744</v>
      </c>
    </row>
    <row r="334" spans="1:22" x14ac:dyDescent="0.2">
      <c r="A334">
        <v>144</v>
      </c>
      <c r="B334" t="s">
        <v>307</v>
      </c>
      <c r="C334" t="s">
        <v>282</v>
      </c>
      <c r="D334" t="s">
        <v>477</v>
      </c>
      <c r="E334" t="s">
        <v>728</v>
      </c>
      <c r="F334">
        <v>1146</v>
      </c>
      <c r="G334" t="s">
        <v>14</v>
      </c>
      <c r="H334" t="s">
        <v>403</v>
      </c>
      <c r="I334" t="s">
        <v>404</v>
      </c>
      <c r="J334" t="s">
        <v>580</v>
      </c>
      <c r="K334">
        <v>2417.23</v>
      </c>
      <c r="L334" s="1" t="s">
        <v>631</v>
      </c>
      <c r="M334" t="s">
        <v>729</v>
      </c>
      <c r="N334" s="1" t="s">
        <v>745</v>
      </c>
      <c r="O334">
        <v>2417.23</v>
      </c>
      <c r="P334" t="s">
        <v>403</v>
      </c>
      <c r="Q334" t="s">
        <v>634</v>
      </c>
      <c r="R334" s="1" t="s">
        <v>465</v>
      </c>
      <c r="S334" s="1" t="s">
        <v>406</v>
      </c>
      <c r="T334" s="1" t="s">
        <v>406</v>
      </c>
      <c r="U334" s="1" t="s">
        <v>483</v>
      </c>
      <c r="V334" s="1" t="s">
        <v>742</v>
      </c>
    </row>
    <row r="335" spans="1:22" x14ac:dyDescent="0.2">
      <c r="A335">
        <v>144</v>
      </c>
      <c r="B335" t="s">
        <v>307</v>
      </c>
      <c r="C335" t="s">
        <v>282</v>
      </c>
      <c r="D335" t="s">
        <v>477</v>
      </c>
      <c r="E335" t="s">
        <v>728</v>
      </c>
      <c r="F335">
        <v>1146</v>
      </c>
      <c r="G335" t="s">
        <v>15</v>
      </c>
      <c r="H335" t="s">
        <v>423</v>
      </c>
      <c r="I335" t="s">
        <v>404</v>
      </c>
      <c r="J335" t="s">
        <v>580</v>
      </c>
      <c r="K335">
        <v>8.1100000000000005E-2</v>
      </c>
      <c r="L335" s="1" t="s">
        <v>631</v>
      </c>
      <c r="M335" t="s">
        <v>729</v>
      </c>
      <c r="N335" s="1" t="s">
        <v>746</v>
      </c>
      <c r="O335">
        <v>8.1100000000000005E-2</v>
      </c>
      <c r="P335" t="s">
        <v>423</v>
      </c>
      <c r="Q335" t="s">
        <v>634</v>
      </c>
      <c r="R335" s="1" t="s">
        <v>465</v>
      </c>
      <c r="S335" s="1" t="s">
        <v>406</v>
      </c>
      <c r="T335" s="1" t="s">
        <v>406</v>
      </c>
      <c r="U335" s="1" t="s">
        <v>483</v>
      </c>
      <c r="V335" s="1" t="s">
        <v>742</v>
      </c>
    </row>
    <row r="336" spans="1:22" x14ac:dyDescent="0.2">
      <c r="A336">
        <v>144</v>
      </c>
      <c r="B336" t="s">
        <v>307</v>
      </c>
      <c r="C336" t="s">
        <v>282</v>
      </c>
      <c r="D336" t="s">
        <v>477</v>
      </c>
      <c r="E336" t="s">
        <v>728</v>
      </c>
      <c r="F336">
        <v>1146</v>
      </c>
      <c r="G336" t="s">
        <v>16</v>
      </c>
      <c r="H336" t="s">
        <v>423</v>
      </c>
      <c r="I336" t="s">
        <v>404</v>
      </c>
      <c r="J336" t="s">
        <v>580</v>
      </c>
      <c r="K336">
        <v>8.4599999999999995E-2</v>
      </c>
      <c r="L336" s="1" t="s">
        <v>631</v>
      </c>
      <c r="M336" t="s">
        <v>729</v>
      </c>
      <c r="N336" s="1" t="s">
        <v>747</v>
      </c>
      <c r="O336">
        <v>8.4599999999999995E-2</v>
      </c>
      <c r="P336" t="s">
        <v>423</v>
      </c>
      <c r="Q336" t="s">
        <v>634</v>
      </c>
      <c r="R336" s="1" t="s">
        <v>465</v>
      </c>
      <c r="S336" s="1" t="s">
        <v>406</v>
      </c>
      <c r="T336" s="1" t="s">
        <v>406</v>
      </c>
      <c r="U336" s="1" t="s">
        <v>483</v>
      </c>
      <c r="V336" s="1" t="s">
        <v>742</v>
      </c>
    </row>
    <row r="337" spans="1:22" x14ac:dyDescent="0.2">
      <c r="A337">
        <v>144</v>
      </c>
      <c r="B337" t="s">
        <v>307</v>
      </c>
      <c r="C337" t="s">
        <v>282</v>
      </c>
      <c r="D337" t="s">
        <v>477</v>
      </c>
      <c r="E337" t="s">
        <v>728</v>
      </c>
      <c r="F337">
        <v>1146</v>
      </c>
      <c r="G337" t="s">
        <v>17</v>
      </c>
      <c r="H337" t="s">
        <v>423</v>
      </c>
      <c r="I337" t="s">
        <v>404</v>
      </c>
      <c r="J337" t="s">
        <v>580</v>
      </c>
      <c r="K337">
        <v>0.94800000000000006</v>
      </c>
      <c r="L337" s="1" t="s">
        <v>631</v>
      </c>
      <c r="M337" t="s">
        <v>729</v>
      </c>
      <c r="N337" s="1" t="s">
        <v>748</v>
      </c>
      <c r="O337">
        <v>0.94800000000000006</v>
      </c>
      <c r="P337" t="s">
        <v>423</v>
      </c>
      <c r="Q337" t="s">
        <v>634</v>
      </c>
      <c r="R337" s="1" t="s">
        <v>465</v>
      </c>
      <c r="S337" s="1" t="s">
        <v>406</v>
      </c>
      <c r="T337" s="1" t="s">
        <v>406</v>
      </c>
      <c r="U337" s="1" t="s">
        <v>483</v>
      </c>
      <c r="V337" s="1" t="s">
        <v>742</v>
      </c>
    </row>
    <row r="338" spans="1:22" x14ac:dyDescent="0.2">
      <c r="A338">
        <v>144</v>
      </c>
      <c r="B338" t="s">
        <v>307</v>
      </c>
      <c r="C338" t="s">
        <v>282</v>
      </c>
      <c r="D338" t="s">
        <v>477</v>
      </c>
      <c r="E338" t="s">
        <v>728</v>
      </c>
      <c r="F338">
        <v>1146</v>
      </c>
      <c r="G338" t="s">
        <v>18</v>
      </c>
      <c r="H338" t="s">
        <v>423</v>
      </c>
      <c r="I338" t="s">
        <v>404</v>
      </c>
      <c r="J338" t="s">
        <v>580</v>
      </c>
      <c r="K338">
        <v>11.71</v>
      </c>
      <c r="L338" s="1" t="s">
        <v>631</v>
      </c>
      <c r="M338" t="s">
        <v>729</v>
      </c>
      <c r="N338" s="1" t="s">
        <v>749</v>
      </c>
      <c r="O338">
        <v>11.71</v>
      </c>
      <c r="P338" t="s">
        <v>423</v>
      </c>
      <c r="Q338" t="s">
        <v>634</v>
      </c>
      <c r="R338" s="1" t="s">
        <v>465</v>
      </c>
      <c r="S338" s="1" t="s">
        <v>406</v>
      </c>
      <c r="T338" s="1" t="s">
        <v>406</v>
      </c>
      <c r="U338" s="1" t="s">
        <v>483</v>
      </c>
      <c r="V338" s="1" t="s">
        <v>742</v>
      </c>
    </row>
    <row r="339" spans="1:22" x14ac:dyDescent="0.2">
      <c r="A339">
        <v>144</v>
      </c>
      <c r="B339" t="s">
        <v>307</v>
      </c>
      <c r="C339" t="s">
        <v>282</v>
      </c>
      <c r="D339" t="s">
        <v>477</v>
      </c>
      <c r="E339" t="s">
        <v>728</v>
      </c>
      <c r="F339">
        <v>1146</v>
      </c>
      <c r="G339" t="s">
        <v>19</v>
      </c>
      <c r="H339" t="s">
        <v>423</v>
      </c>
      <c r="I339" t="s">
        <v>404</v>
      </c>
      <c r="J339" t="s">
        <v>580</v>
      </c>
      <c r="K339">
        <v>65.34</v>
      </c>
      <c r="L339" s="1" t="s">
        <v>631</v>
      </c>
      <c r="M339" t="s">
        <v>729</v>
      </c>
      <c r="N339" s="1" t="s">
        <v>750</v>
      </c>
      <c r="O339">
        <v>65.34</v>
      </c>
      <c r="P339" t="s">
        <v>423</v>
      </c>
      <c r="Q339" t="s">
        <v>634</v>
      </c>
      <c r="R339" s="1" t="s">
        <v>465</v>
      </c>
      <c r="S339" s="1" t="s">
        <v>406</v>
      </c>
      <c r="T339" s="1" t="s">
        <v>406</v>
      </c>
      <c r="U339" s="1" t="s">
        <v>731</v>
      </c>
      <c r="V339" s="1" t="s">
        <v>751</v>
      </c>
    </row>
    <row r="340" spans="1:22" x14ac:dyDescent="0.2">
      <c r="A340">
        <v>144</v>
      </c>
      <c r="B340" t="s">
        <v>307</v>
      </c>
      <c r="C340" t="s">
        <v>282</v>
      </c>
      <c r="D340" t="s">
        <v>477</v>
      </c>
      <c r="E340" t="s">
        <v>728</v>
      </c>
      <c r="F340">
        <v>1146</v>
      </c>
      <c r="G340" t="s">
        <v>20</v>
      </c>
      <c r="H340" t="s">
        <v>423</v>
      </c>
      <c r="I340" t="s">
        <v>404</v>
      </c>
      <c r="J340" t="s">
        <v>580</v>
      </c>
      <c r="K340">
        <v>0.15140000000000001</v>
      </c>
      <c r="L340" s="1" t="s">
        <v>631</v>
      </c>
      <c r="M340" t="s">
        <v>729</v>
      </c>
      <c r="N340" s="1" t="s">
        <v>752</v>
      </c>
      <c r="O340">
        <v>0.15140000000000001</v>
      </c>
      <c r="P340" t="s">
        <v>423</v>
      </c>
      <c r="Q340" t="s">
        <v>634</v>
      </c>
      <c r="R340" s="1" t="s">
        <v>465</v>
      </c>
      <c r="S340" s="1" t="s">
        <v>406</v>
      </c>
      <c r="T340" s="1" t="s">
        <v>406</v>
      </c>
      <c r="U340" s="1" t="s">
        <v>483</v>
      </c>
      <c r="V340" s="1" t="s">
        <v>742</v>
      </c>
    </row>
    <row r="341" spans="1:22" x14ac:dyDescent="0.2">
      <c r="A341">
        <v>144</v>
      </c>
      <c r="B341" t="s">
        <v>307</v>
      </c>
      <c r="C341" t="s">
        <v>282</v>
      </c>
      <c r="D341" t="s">
        <v>477</v>
      </c>
      <c r="E341" t="s">
        <v>728</v>
      </c>
      <c r="F341">
        <v>1146</v>
      </c>
      <c r="G341" t="s">
        <v>21</v>
      </c>
      <c r="H341" t="s">
        <v>423</v>
      </c>
      <c r="I341" t="s">
        <v>404</v>
      </c>
      <c r="J341" t="s">
        <v>580</v>
      </c>
      <c r="K341">
        <v>1.909</v>
      </c>
      <c r="L341" s="1" t="s">
        <v>631</v>
      </c>
      <c r="M341" t="s">
        <v>729</v>
      </c>
      <c r="N341" s="1" t="s">
        <v>753</v>
      </c>
      <c r="O341">
        <v>1.909</v>
      </c>
      <c r="P341" t="s">
        <v>423</v>
      </c>
      <c r="Q341" t="s">
        <v>634</v>
      </c>
      <c r="R341" s="1" t="s">
        <v>465</v>
      </c>
      <c r="S341" s="1" t="s">
        <v>406</v>
      </c>
      <c r="T341" s="1" t="s">
        <v>406</v>
      </c>
      <c r="U341" s="1" t="s">
        <v>731</v>
      </c>
      <c r="V341" s="1" t="s">
        <v>754</v>
      </c>
    </row>
    <row r="342" spans="1:22" x14ac:dyDescent="0.2">
      <c r="A342">
        <v>144</v>
      </c>
      <c r="B342" t="s">
        <v>307</v>
      </c>
      <c r="C342" t="s">
        <v>282</v>
      </c>
      <c r="D342" t="s">
        <v>477</v>
      </c>
      <c r="E342" t="s">
        <v>728</v>
      </c>
      <c r="F342">
        <v>1146</v>
      </c>
      <c r="G342" t="s">
        <v>22</v>
      </c>
      <c r="H342" t="s">
        <v>423</v>
      </c>
      <c r="I342" t="s">
        <v>404</v>
      </c>
      <c r="J342" t="s">
        <v>580</v>
      </c>
      <c r="K342">
        <v>76.959999999999994</v>
      </c>
      <c r="L342" s="1" t="s">
        <v>631</v>
      </c>
      <c r="M342" t="s">
        <v>729</v>
      </c>
      <c r="N342" s="1" t="s">
        <v>755</v>
      </c>
      <c r="O342">
        <v>76.959999999999994</v>
      </c>
      <c r="P342" t="s">
        <v>423</v>
      </c>
      <c r="Q342" t="s">
        <v>634</v>
      </c>
      <c r="R342" s="1" t="s">
        <v>465</v>
      </c>
      <c r="S342" s="1" t="s">
        <v>406</v>
      </c>
      <c r="T342" s="1" t="s">
        <v>406</v>
      </c>
      <c r="U342" s="1" t="s">
        <v>483</v>
      </c>
      <c r="V342" s="1" t="s">
        <v>742</v>
      </c>
    </row>
    <row r="343" spans="1:22" x14ac:dyDescent="0.2">
      <c r="A343">
        <v>144</v>
      </c>
      <c r="B343" t="s">
        <v>307</v>
      </c>
      <c r="C343" t="s">
        <v>282</v>
      </c>
      <c r="D343" t="s">
        <v>477</v>
      </c>
      <c r="E343" t="s">
        <v>728</v>
      </c>
      <c r="F343">
        <v>1146</v>
      </c>
      <c r="G343" t="s">
        <v>23</v>
      </c>
      <c r="H343" t="s">
        <v>423</v>
      </c>
      <c r="I343" t="s">
        <v>404</v>
      </c>
      <c r="J343" t="s">
        <v>580</v>
      </c>
      <c r="K343">
        <v>344.18799999999999</v>
      </c>
      <c r="L343" s="1" t="s">
        <v>631</v>
      </c>
      <c r="M343" t="s">
        <v>729</v>
      </c>
      <c r="N343" s="1" t="s">
        <v>756</v>
      </c>
      <c r="O343">
        <v>344.18799999999999</v>
      </c>
      <c r="P343" t="s">
        <v>423</v>
      </c>
      <c r="Q343" t="s">
        <v>634</v>
      </c>
      <c r="R343" s="1" t="s">
        <v>465</v>
      </c>
      <c r="S343" s="1" t="s">
        <v>406</v>
      </c>
      <c r="T343" s="1" t="s">
        <v>406</v>
      </c>
      <c r="U343" s="1" t="s">
        <v>483</v>
      </c>
      <c r="V343" s="1" t="s">
        <v>742</v>
      </c>
    </row>
    <row r="344" spans="1:22" x14ac:dyDescent="0.2">
      <c r="A344">
        <v>144</v>
      </c>
      <c r="B344" t="s">
        <v>307</v>
      </c>
      <c r="C344" t="s">
        <v>282</v>
      </c>
      <c r="D344" t="s">
        <v>477</v>
      </c>
      <c r="E344" t="s">
        <v>728</v>
      </c>
      <c r="F344">
        <v>1146</v>
      </c>
      <c r="G344" t="s">
        <v>24</v>
      </c>
      <c r="H344" t="s">
        <v>423</v>
      </c>
      <c r="I344" t="s">
        <v>404</v>
      </c>
      <c r="J344" t="s">
        <v>580</v>
      </c>
      <c r="K344">
        <v>20.74</v>
      </c>
      <c r="L344" s="1" t="s">
        <v>631</v>
      </c>
      <c r="M344" t="s">
        <v>729</v>
      </c>
      <c r="N344" s="1" t="s">
        <v>757</v>
      </c>
      <c r="O344">
        <v>20.74</v>
      </c>
      <c r="P344" t="s">
        <v>423</v>
      </c>
      <c r="Q344" t="s">
        <v>634</v>
      </c>
      <c r="R344" s="1" t="s">
        <v>465</v>
      </c>
      <c r="S344" s="1" t="s">
        <v>406</v>
      </c>
      <c r="T344" s="1" t="s">
        <v>406</v>
      </c>
      <c r="U344" s="1" t="s">
        <v>731</v>
      </c>
      <c r="V344" s="1" t="s">
        <v>758</v>
      </c>
    </row>
    <row r="345" spans="1:22" x14ac:dyDescent="0.2">
      <c r="A345">
        <v>144</v>
      </c>
      <c r="B345" t="s">
        <v>307</v>
      </c>
      <c r="C345" t="s">
        <v>282</v>
      </c>
      <c r="D345" t="s">
        <v>477</v>
      </c>
      <c r="E345" t="s">
        <v>728</v>
      </c>
      <c r="F345">
        <v>1146</v>
      </c>
      <c r="G345" t="s">
        <v>25</v>
      </c>
      <c r="H345" t="s">
        <v>423</v>
      </c>
      <c r="I345" t="s">
        <v>404</v>
      </c>
      <c r="J345" t="s">
        <v>580</v>
      </c>
      <c r="K345">
        <v>0.44700000000000012</v>
      </c>
      <c r="L345" s="1" t="s">
        <v>631</v>
      </c>
      <c r="M345" t="s">
        <v>729</v>
      </c>
      <c r="N345" s="1" t="s">
        <v>759</v>
      </c>
      <c r="O345">
        <v>0.44700000000000012</v>
      </c>
      <c r="P345" t="s">
        <v>423</v>
      </c>
      <c r="Q345" t="s">
        <v>634</v>
      </c>
      <c r="R345" s="1" t="s">
        <v>465</v>
      </c>
      <c r="S345" s="1" t="s">
        <v>406</v>
      </c>
      <c r="T345" s="1" t="s">
        <v>406</v>
      </c>
      <c r="U345" s="1" t="s">
        <v>483</v>
      </c>
      <c r="V345" s="1" t="s">
        <v>742</v>
      </c>
    </row>
    <row r="346" spans="1:22" x14ac:dyDescent="0.2">
      <c r="A346">
        <v>144</v>
      </c>
      <c r="B346" t="s">
        <v>307</v>
      </c>
      <c r="C346" t="s">
        <v>282</v>
      </c>
      <c r="D346" t="s">
        <v>477</v>
      </c>
      <c r="E346" t="s">
        <v>728</v>
      </c>
      <c r="F346">
        <v>1146</v>
      </c>
      <c r="G346" t="s">
        <v>26</v>
      </c>
      <c r="H346" t="s">
        <v>496</v>
      </c>
      <c r="I346" t="s">
        <v>404</v>
      </c>
      <c r="J346" t="s">
        <v>580</v>
      </c>
      <c r="K346">
        <v>91.08</v>
      </c>
      <c r="L346" s="1" t="s">
        <v>631</v>
      </c>
      <c r="M346" t="s">
        <v>729</v>
      </c>
      <c r="N346" s="1" t="s">
        <v>760</v>
      </c>
      <c r="O346">
        <v>91.08</v>
      </c>
      <c r="P346" t="s">
        <v>496</v>
      </c>
      <c r="Q346" t="s">
        <v>634</v>
      </c>
      <c r="R346" s="1" t="s">
        <v>465</v>
      </c>
      <c r="S346" s="1" t="s">
        <v>406</v>
      </c>
      <c r="T346" s="1" t="s">
        <v>406</v>
      </c>
      <c r="U346" s="1" t="s">
        <v>731</v>
      </c>
      <c r="V346" s="1" t="s">
        <v>761</v>
      </c>
    </row>
    <row r="347" spans="1:22" x14ac:dyDescent="0.2">
      <c r="A347">
        <v>157</v>
      </c>
      <c r="B347" t="s">
        <v>331</v>
      </c>
      <c r="C347" t="s">
        <v>319</v>
      </c>
      <c r="D347" t="s">
        <v>1590</v>
      </c>
      <c r="E347" t="s">
        <v>1574</v>
      </c>
      <c r="F347">
        <v>284</v>
      </c>
      <c r="G347" t="s">
        <v>6</v>
      </c>
      <c r="H347" t="s">
        <v>493</v>
      </c>
      <c r="I347" t="s">
        <v>404</v>
      </c>
      <c r="J347" t="s">
        <v>580</v>
      </c>
      <c r="K347">
        <v>133.83000000000001</v>
      </c>
      <c r="L347" s="1" t="s">
        <v>762</v>
      </c>
      <c r="M347" t="s">
        <v>763</v>
      </c>
      <c r="N347" s="1" t="s">
        <v>764</v>
      </c>
      <c r="O347">
        <v>133.83000000000001</v>
      </c>
      <c r="P347" t="s">
        <v>493</v>
      </c>
      <c r="Q347" t="s">
        <v>634</v>
      </c>
      <c r="R347" s="1" t="s">
        <v>465</v>
      </c>
      <c r="S347" s="1" t="s">
        <v>406</v>
      </c>
      <c r="T347" s="1" t="s">
        <v>406</v>
      </c>
      <c r="U347" s="1" t="s">
        <v>1587</v>
      </c>
      <c r="V347" s="1" t="s">
        <v>765</v>
      </c>
    </row>
    <row r="348" spans="1:22" x14ac:dyDescent="0.2">
      <c r="A348">
        <v>157</v>
      </c>
      <c r="B348" t="s">
        <v>331</v>
      </c>
      <c r="C348" t="s">
        <v>319</v>
      </c>
      <c r="D348" t="s">
        <v>1590</v>
      </c>
      <c r="E348" t="s">
        <v>1574</v>
      </c>
      <c r="F348">
        <v>284</v>
      </c>
      <c r="G348" t="s">
        <v>7</v>
      </c>
      <c r="H348" t="s">
        <v>415</v>
      </c>
      <c r="I348" t="s">
        <v>404</v>
      </c>
      <c r="J348" t="s">
        <v>580</v>
      </c>
      <c r="K348">
        <v>4.7669999999999986</v>
      </c>
      <c r="L348" s="1" t="s">
        <v>762</v>
      </c>
      <c r="M348" t="s">
        <v>763</v>
      </c>
      <c r="N348" s="1" t="s">
        <v>766</v>
      </c>
      <c r="O348">
        <v>4.7669999999999986</v>
      </c>
      <c r="P348" t="s">
        <v>415</v>
      </c>
      <c r="Q348" t="s">
        <v>634</v>
      </c>
      <c r="R348" s="1" t="s">
        <v>465</v>
      </c>
      <c r="S348" s="1" t="s">
        <v>406</v>
      </c>
      <c r="T348" s="1" t="s">
        <v>406</v>
      </c>
      <c r="U348" s="1" t="s">
        <v>1587</v>
      </c>
      <c r="V348" s="1" t="s">
        <v>765</v>
      </c>
    </row>
    <row r="349" spans="1:22" x14ac:dyDescent="0.2">
      <c r="A349">
        <v>157</v>
      </c>
      <c r="B349" t="s">
        <v>331</v>
      </c>
      <c r="C349" t="s">
        <v>319</v>
      </c>
      <c r="D349" t="s">
        <v>1590</v>
      </c>
      <c r="E349" t="s">
        <v>1574</v>
      </c>
      <c r="F349">
        <v>284</v>
      </c>
      <c r="G349" t="s">
        <v>8</v>
      </c>
      <c r="H349" t="s">
        <v>415</v>
      </c>
      <c r="I349" t="s">
        <v>404</v>
      </c>
      <c r="J349" t="s">
        <v>580</v>
      </c>
      <c r="K349">
        <v>4.4099999999999993</v>
      </c>
      <c r="L349" s="1" t="s">
        <v>762</v>
      </c>
      <c r="M349" t="s">
        <v>763</v>
      </c>
      <c r="N349" s="1" t="s">
        <v>767</v>
      </c>
      <c r="O349">
        <v>4.4099999999999993</v>
      </c>
      <c r="P349" t="s">
        <v>415</v>
      </c>
      <c r="Q349" t="s">
        <v>634</v>
      </c>
      <c r="R349" s="1" t="s">
        <v>465</v>
      </c>
      <c r="S349" s="1" t="s">
        <v>406</v>
      </c>
      <c r="T349" s="1" t="s">
        <v>406</v>
      </c>
      <c r="U349" s="1" t="s">
        <v>1587</v>
      </c>
      <c r="V349" s="1" t="s">
        <v>765</v>
      </c>
    </row>
    <row r="350" spans="1:22" ht="16" customHeight="1" x14ac:dyDescent="0.2">
      <c r="A350">
        <v>157</v>
      </c>
      <c r="B350" t="s">
        <v>331</v>
      </c>
      <c r="C350" t="s">
        <v>319</v>
      </c>
      <c r="D350" t="s">
        <v>1590</v>
      </c>
      <c r="E350" t="s">
        <v>1574</v>
      </c>
      <c r="F350">
        <v>284</v>
      </c>
      <c r="G350" t="s">
        <v>9</v>
      </c>
      <c r="H350" t="s">
        <v>415</v>
      </c>
      <c r="I350" t="s">
        <v>404</v>
      </c>
      <c r="J350" t="s">
        <v>405</v>
      </c>
      <c r="K350">
        <v>0</v>
      </c>
      <c r="L350" s="11" t="s">
        <v>406</v>
      </c>
      <c r="M350" t="s">
        <v>416</v>
      </c>
      <c r="N350" s="11" t="s">
        <v>417</v>
      </c>
      <c r="O350" t="s">
        <v>418</v>
      </c>
      <c r="P350" t="s">
        <v>415</v>
      </c>
      <c r="Q350">
        <v>1</v>
      </c>
      <c r="R350" s="11" t="s">
        <v>406</v>
      </c>
      <c r="S350" s="11" t="s">
        <v>406</v>
      </c>
      <c r="T350" s="11" t="s">
        <v>406</v>
      </c>
      <c r="U350" s="11" t="s">
        <v>419</v>
      </c>
      <c r="V350" s="11" t="s">
        <v>420</v>
      </c>
    </row>
    <row r="351" spans="1:22" x14ac:dyDescent="0.2">
      <c r="A351">
        <v>157</v>
      </c>
      <c r="B351" t="s">
        <v>331</v>
      </c>
      <c r="C351" t="s">
        <v>319</v>
      </c>
      <c r="D351" t="s">
        <v>1590</v>
      </c>
      <c r="E351" t="s">
        <v>1574</v>
      </c>
      <c r="F351">
        <v>284</v>
      </c>
      <c r="G351" t="s">
        <v>10</v>
      </c>
      <c r="H351" t="s">
        <v>415</v>
      </c>
      <c r="I351" t="s">
        <v>404</v>
      </c>
      <c r="J351" t="s">
        <v>580</v>
      </c>
      <c r="K351">
        <v>19.965</v>
      </c>
      <c r="L351" s="1" t="s">
        <v>762</v>
      </c>
      <c r="M351" t="s">
        <v>763</v>
      </c>
      <c r="N351" s="1" t="s">
        <v>768</v>
      </c>
      <c r="O351">
        <v>19.965</v>
      </c>
      <c r="P351" t="s">
        <v>415</v>
      </c>
      <c r="Q351" t="s">
        <v>634</v>
      </c>
      <c r="R351" s="1" t="s">
        <v>465</v>
      </c>
      <c r="S351" s="1" t="s">
        <v>406</v>
      </c>
      <c r="T351" s="1" t="s">
        <v>406</v>
      </c>
      <c r="U351" s="1" t="s">
        <v>1587</v>
      </c>
      <c r="V351" s="1" t="s">
        <v>765</v>
      </c>
    </row>
    <row r="352" spans="1:22" x14ac:dyDescent="0.2">
      <c r="A352">
        <v>157</v>
      </c>
      <c r="B352" t="s">
        <v>331</v>
      </c>
      <c r="C352" t="s">
        <v>319</v>
      </c>
      <c r="D352" t="s">
        <v>1590</v>
      </c>
      <c r="E352" t="s">
        <v>1574</v>
      </c>
      <c r="F352">
        <v>284</v>
      </c>
      <c r="G352" t="s">
        <v>11</v>
      </c>
      <c r="H352" t="s">
        <v>415</v>
      </c>
      <c r="I352" t="s">
        <v>404</v>
      </c>
      <c r="J352" t="s">
        <v>580</v>
      </c>
      <c r="K352">
        <v>1.47</v>
      </c>
      <c r="L352" s="1" t="s">
        <v>762</v>
      </c>
      <c r="M352" t="s">
        <v>763</v>
      </c>
      <c r="N352" s="1" t="s">
        <v>769</v>
      </c>
      <c r="O352">
        <v>1.47</v>
      </c>
      <c r="P352" t="s">
        <v>415</v>
      </c>
      <c r="Q352" t="s">
        <v>634</v>
      </c>
      <c r="R352" s="1" t="s">
        <v>465</v>
      </c>
      <c r="S352" s="1" t="s">
        <v>406</v>
      </c>
      <c r="T352" s="1" t="s">
        <v>406</v>
      </c>
      <c r="U352" s="1" t="s">
        <v>1587</v>
      </c>
      <c r="V352" s="1" t="s">
        <v>765</v>
      </c>
    </row>
    <row r="353" spans="1:22" x14ac:dyDescent="0.2">
      <c r="A353">
        <v>157</v>
      </c>
      <c r="B353" t="s">
        <v>331</v>
      </c>
      <c r="C353" t="s">
        <v>319</v>
      </c>
      <c r="D353" t="s">
        <v>1590</v>
      </c>
      <c r="E353" t="s">
        <v>1574</v>
      </c>
      <c r="F353">
        <v>284</v>
      </c>
      <c r="G353" t="s">
        <v>12</v>
      </c>
      <c r="H353" t="s">
        <v>415</v>
      </c>
      <c r="I353" t="s">
        <v>404</v>
      </c>
      <c r="J353" t="s">
        <v>580</v>
      </c>
      <c r="K353">
        <v>0.84199999999999997</v>
      </c>
      <c r="L353" s="1" t="s">
        <v>762</v>
      </c>
      <c r="M353" t="s">
        <v>763</v>
      </c>
      <c r="N353" s="1" t="s">
        <v>770</v>
      </c>
      <c r="O353">
        <v>0.84199999999999997</v>
      </c>
      <c r="P353" t="s">
        <v>415</v>
      </c>
      <c r="Q353" t="s">
        <v>634</v>
      </c>
      <c r="R353" s="1" t="s">
        <v>465</v>
      </c>
      <c r="S353" s="1" t="s">
        <v>406</v>
      </c>
      <c r="T353" s="1" t="s">
        <v>406</v>
      </c>
      <c r="U353" s="1" t="s">
        <v>1587</v>
      </c>
      <c r="V353" s="1" t="s">
        <v>765</v>
      </c>
    </row>
    <row r="354" spans="1:22" x14ac:dyDescent="0.2">
      <c r="A354">
        <v>157</v>
      </c>
      <c r="B354" t="s">
        <v>331</v>
      </c>
      <c r="C354" t="s">
        <v>319</v>
      </c>
      <c r="D354" t="s">
        <v>1590</v>
      </c>
      <c r="E354" t="s">
        <v>1574</v>
      </c>
      <c r="F354">
        <v>284</v>
      </c>
      <c r="G354" t="s">
        <v>13</v>
      </c>
      <c r="H354" t="s">
        <v>403</v>
      </c>
      <c r="I354" t="s">
        <v>404</v>
      </c>
      <c r="J354" t="s">
        <v>580</v>
      </c>
      <c r="K354">
        <v>0</v>
      </c>
      <c r="L354" s="1" t="s">
        <v>762</v>
      </c>
      <c r="M354" t="s">
        <v>763</v>
      </c>
      <c r="N354" s="1" t="s">
        <v>771</v>
      </c>
      <c r="O354">
        <v>0</v>
      </c>
      <c r="P354" t="s">
        <v>403</v>
      </c>
      <c r="Q354" t="s">
        <v>634</v>
      </c>
      <c r="R354" s="1" t="s">
        <v>465</v>
      </c>
      <c r="S354" s="1" t="s">
        <v>406</v>
      </c>
      <c r="T354" s="1" t="s">
        <v>406</v>
      </c>
      <c r="U354" s="1" t="s">
        <v>1587</v>
      </c>
      <c r="V354" s="1" t="s">
        <v>765</v>
      </c>
    </row>
    <row r="355" spans="1:22" x14ac:dyDescent="0.2">
      <c r="A355">
        <v>157</v>
      </c>
      <c r="B355" t="s">
        <v>331</v>
      </c>
      <c r="C355" t="s">
        <v>319</v>
      </c>
      <c r="D355" t="s">
        <v>1590</v>
      </c>
      <c r="E355" t="s">
        <v>1574</v>
      </c>
      <c r="F355">
        <v>284</v>
      </c>
      <c r="G355" t="s">
        <v>14</v>
      </c>
      <c r="H355" t="s">
        <v>403</v>
      </c>
      <c r="I355" t="s">
        <v>404</v>
      </c>
      <c r="J355" t="s">
        <v>580</v>
      </c>
      <c r="K355">
        <v>28.08</v>
      </c>
      <c r="L355" s="1" t="s">
        <v>762</v>
      </c>
      <c r="M355" t="s">
        <v>763</v>
      </c>
      <c r="N355" s="1" t="s">
        <v>772</v>
      </c>
      <c r="O355">
        <v>28.08</v>
      </c>
      <c r="P355" t="s">
        <v>403</v>
      </c>
      <c r="Q355" t="s">
        <v>634</v>
      </c>
      <c r="R355" s="1" t="s">
        <v>465</v>
      </c>
      <c r="S355" s="1" t="s">
        <v>406</v>
      </c>
      <c r="T355" s="1" t="s">
        <v>406</v>
      </c>
      <c r="U355" s="1" t="s">
        <v>1587</v>
      </c>
      <c r="V355" s="1" t="s">
        <v>765</v>
      </c>
    </row>
    <row r="356" spans="1:22" x14ac:dyDescent="0.2">
      <c r="A356">
        <v>157</v>
      </c>
      <c r="B356" t="s">
        <v>331</v>
      </c>
      <c r="C356" t="s">
        <v>319</v>
      </c>
      <c r="D356" t="s">
        <v>1590</v>
      </c>
      <c r="E356" t="s">
        <v>1574</v>
      </c>
      <c r="F356">
        <v>284</v>
      </c>
      <c r="G356" t="s">
        <v>15</v>
      </c>
      <c r="H356" t="s">
        <v>423</v>
      </c>
      <c r="I356" t="s">
        <v>404</v>
      </c>
      <c r="J356" t="s">
        <v>580</v>
      </c>
      <c r="K356">
        <v>8.5000000000000006E-2</v>
      </c>
      <c r="L356" s="1" t="s">
        <v>762</v>
      </c>
      <c r="M356" t="s">
        <v>763</v>
      </c>
      <c r="N356" s="1" t="s">
        <v>773</v>
      </c>
      <c r="O356">
        <v>8.5000000000000006E-2</v>
      </c>
      <c r="P356" t="s">
        <v>423</v>
      </c>
      <c r="Q356" t="s">
        <v>634</v>
      </c>
      <c r="R356" s="1" t="s">
        <v>465</v>
      </c>
      <c r="S356" s="1" t="s">
        <v>406</v>
      </c>
      <c r="T356" s="1" t="s">
        <v>406</v>
      </c>
      <c r="U356" s="1" t="s">
        <v>1587</v>
      </c>
      <c r="V356" s="1" t="s">
        <v>765</v>
      </c>
    </row>
    <row r="357" spans="1:22" x14ac:dyDescent="0.2">
      <c r="A357">
        <v>157</v>
      </c>
      <c r="B357" t="s">
        <v>331</v>
      </c>
      <c r="C357" t="s">
        <v>319</v>
      </c>
      <c r="D357" t="s">
        <v>1590</v>
      </c>
      <c r="E357" t="s">
        <v>1574</v>
      </c>
      <c r="F357">
        <v>284</v>
      </c>
      <c r="G357" t="s">
        <v>16</v>
      </c>
      <c r="H357" t="s">
        <v>423</v>
      </c>
      <c r="I357" t="s">
        <v>404</v>
      </c>
      <c r="J357" t="s">
        <v>580</v>
      </c>
      <c r="K357">
        <v>5.2499999999999998E-2</v>
      </c>
      <c r="L357" s="1" t="s">
        <v>762</v>
      </c>
      <c r="M357" t="s">
        <v>763</v>
      </c>
      <c r="N357" s="1" t="s">
        <v>774</v>
      </c>
      <c r="O357">
        <v>5.2499999999999998E-2</v>
      </c>
      <c r="P357" t="s">
        <v>423</v>
      </c>
      <c r="Q357" t="s">
        <v>634</v>
      </c>
      <c r="R357" s="1" t="s">
        <v>465</v>
      </c>
      <c r="S357" s="1" t="s">
        <v>406</v>
      </c>
      <c r="T357" s="1" t="s">
        <v>406</v>
      </c>
      <c r="U357" s="1" t="s">
        <v>1587</v>
      </c>
      <c r="V357" s="1" t="s">
        <v>765</v>
      </c>
    </row>
    <row r="358" spans="1:22" x14ac:dyDescent="0.2">
      <c r="A358">
        <v>157</v>
      </c>
      <c r="B358" t="s">
        <v>331</v>
      </c>
      <c r="C358" t="s">
        <v>319</v>
      </c>
      <c r="D358" t="s">
        <v>1590</v>
      </c>
      <c r="E358" t="s">
        <v>1574</v>
      </c>
      <c r="F358">
        <v>284</v>
      </c>
      <c r="G358" t="s">
        <v>17</v>
      </c>
      <c r="H358" t="s">
        <v>423</v>
      </c>
      <c r="I358" t="s">
        <v>404</v>
      </c>
      <c r="J358" t="s">
        <v>580</v>
      </c>
      <c r="K358">
        <v>0.38800000000000001</v>
      </c>
      <c r="L358" s="1" t="s">
        <v>762</v>
      </c>
      <c r="M358" t="s">
        <v>763</v>
      </c>
      <c r="N358" s="1" t="s">
        <v>775</v>
      </c>
      <c r="O358">
        <v>0.38800000000000001</v>
      </c>
      <c r="P358" t="s">
        <v>423</v>
      </c>
      <c r="Q358" t="s">
        <v>634</v>
      </c>
      <c r="R358" s="1" t="s">
        <v>465</v>
      </c>
      <c r="S358" s="1" t="s">
        <v>406</v>
      </c>
      <c r="T358" s="1" t="s">
        <v>406</v>
      </c>
      <c r="U358" s="1" t="s">
        <v>1587</v>
      </c>
      <c r="V358" s="1" t="s">
        <v>765</v>
      </c>
    </row>
    <row r="359" spans="1:22" x14ac:dyDescent="0.2">
      <c r="A359">
        <v>157</v>
      </c>
      <c r="B359" t="s">
        <v>331</v>
      </c>
      <c r="C359" t="s">
        <v>319</v>
      </c>
      <c r="D359" t="s">
        <v>1590</v>
      </c>
      <c r="E359" t="s">
        <v>1574</v>
      </c>
      <c r="F359">
        <v>284</v>
      </c>
      <c r="G359" t="s">
        <v>18</v>
      </c>
      <c r="H359" t="s">
        <v>423</v>
      </c>
      <c r="I359" t="s">
        <v>404</v>
      </c>
      <c r="J359" t="s">
        <v>580</v>
      </c>
      <c r="K359">
        <v>2.04</v>
      </c>
      <c r="L359" s="1" t="s">
        <v>762</v>
      </c>
      <c r="M359" t="s">
        <v>763</v>
      </c>
      <c r="N359" s="1" t="s">
        <v>776</v>
      </c>
      <c r="O359">
        <v>2.04</v>
      </c>
      <c r="P359" t="s">
        <v>423</v>
      </c>
      <c r="Q359" t="s">
        <v>634</v>
      </c>
      <c r="R359" s="1" t="s">
        <v>465</v>
      </c>
      <c r="S359" s="1" t="s">
        <v>406</v>
      </c>
      <c r="T359" s="1" t="s">
        <v>406</v>
      </c>
      <c r="U359" s="1" t="s">
        <v>1587</v>
      </c>
      <c r="V359" s="1" t="s">
        <v>765</v>
      </c>
    </row>
    <row r="360" spans="1:22" x14ac:dyDescent="0.2">
      <c r="A360">
        <v>157</v>
      </c>
      <c r="B360" t="s">
        <v>331</v>
      </c>
      <c r="C360" t="s">
        <v>319</v>
      </c>
      <c r="D360" t="s">
        <v>1590</v>
      </c>
      <c r="E360" t="s">
        <v>1574</v>
      </c>
      <c r="F360">
        <v>284</v>
      </c>
      <c r="G360" t="s">
        <v>19</v>
      </c>
      <c r="H360" t="s">
        <v>423</v>
      </c>
      <c r="I360" t="s">
        <v>404</v>
      </c>
      <c r="J360" t="s">
        <v>580</v>
      </c>
      <c r="K360">
        <v>53.27</v>
      </c>
      <c r="L360" s="1" t="s">
        <v>762</v>
      </c>
      <c r="M360" t="s">
        <v>763</v>
      </c>
      <c r="N360" s="1" t="s">
        <v>777</v>
      </c>
      <c r="O360">
        <v>53.27</v>
      </c>
      <c r="P360" t="s">
        <v>423</v>
      </c>
      <c r="Q360" t="s">
        <v>634</v>
      </c>
      <c r="R360" s="1" t="s">
        <v>465</v>
      </c>
      <c r="S360" s="1" t="s">
        <v>406</v>
      </c>
      <c r="T360" s="1" t="s">
        <v>406</v>
      </c>
      <c r="U360" s="1" t="s">
        <v>1587</v>
      </c>
      <c r="V360" s="1" t="s">
        <v>765</v>
      </c>
    </row>
    <row r="361" spans="1:22" x14ac:dyDescent="0.2">
      <c r="A361">
        <v>157</v>
      </c>
      <c r="B361" t="s">
        <v>331</v>
      </c>
      <c r="C361" t="s">
        <v>319</v>
      </c>
      <c r="D361" t="s">
        <v>1590</v>
      </c>
      <c r="E361" t="s">
        <v>1574</v>
      </c>
      <c r="F361">
        <v>284</v>
      </c>
      <c r="G361" t="s">
        <v>20</v>
      </c>
      <c r="H361" t="s">
        <v>423</v>
      </c>
      <c r="I361" t="s">
        <v>404</v>
      </c>
      <c r="J361" t="s">
        <v>580</v>
      </c>
      <c r="K361">
        <v>0.38800000000000001</v>
      </c>
      <c r="L361" s="1" t="s">
        <v>762</v>
      </c>
      <c r="M361" t="s">
        <v>763</v>
      </c>
      <c r="N361" s="1" t="s">
        <v>778</v>
      </c>
      <c r="O361">
        <v>0.38800000000000001</v>
      </c>
      <c r="P361" t="s">
        <v>423</v>
      </c>
      <c r="Q361" t="s">
        <v>634</v>
      </c>
      <c r="R361" s="1" t="s">
        <v>465</v>
      </c>
      <c r="S361" s="1" t="s">
        <v>406</v>
      </c>
      <c r="T361" s="1" t="s">
        <v>406</v>
      </c>
      <c r="U361" s="1" t="s">
        <v>1587</v>
      </c>
      <c r="V361" s="1" t="s">
        <v>765</v>
      </c>
    </row>
    <row r="362" spans="1:22" x14ac:dyDescent="0.2">
      <c r="A362">
        <v>157</v>
      </c>
      <c r="B362" t="s">
        <v>331</v>
      </c>
      <c r="C362" t="s">
        <v>319</v>
      </c>
      <c r="D362" t="s">
        <v>1590</v>
      </c>
      <c r="E362" t="s">
        <v>1574</v>
      </c>
      <c r="F362">
        <v>284</v>
      </c>
      <c r="G362" t="s">
        <v>21</v>
      </c>
      <c r="H362" t="s">
        <v>423</v>
      </c>
      <c r="I362" t="s">
        <v>404</v>
      </c>
      <c r="J362" t="s">
        <v>580</v>
      </c>
      <c r="K362">
        <v>1.742</v>
      </c>
      <c r="L362" s="1" t="s">
        <v>762</v>
      </c>
      <c r="M362" t="s">
        <v>763</v>
      </c>
      <c r="N362" s="1" t="s">
        <v>779</v>
      </c>
      <c r="O362">
        <v>1.742</v>
      </c>
      <c r="P362" t="s">
        <v>423</v>
      </c>
      <c r="Q362" t="s">
        <v>634</v>
      </c>
      <c r="R362" s="1" t="s">
        <v>465</v>
      </c>
      <c r="S362" s="1" t="s">
        <v>406</v>
      </c>
      <c r="T362" s="1" t="s">
        <v>406</v>
      </c>
      <c r="U362" s="1" t="s">
        <v>1587</v>
      </c>
      <c r="V362" s="1" t="s">
        <v>765</v>
      </c>
    </row>
    <row r="363" spans="1:22" x14ac:dyDescent="0.2">
      <c r="A363">
        <v>157</v>
      </c>
      <c r="B363" t="s">
        <v>331</v>
      </c>
      <c r="C363" t="s">
        <v>319</v>
      </c>
      <c r="D363" t="s">
        <v>1590</v>
      </c>
      <c r="E363" t="s">
        <v>1574</v>
      </c>
      <c r="F363">
        <v>284</v>
      </c>
      <c r="G363" t="s">
        <v>22</v>
      </c>
      <c r="H363" t="s">
        <v>423</v>
      </c>
      <c r="I363" t="s">
        <v>404</v>
      </c>
      <c r="J363" t="s">
        <v>580</v>
      </c>
      <c r="K363">
        <v>64.94</v>
      </c>
      <c r="L363" s="1" t="s">
        <v>762</v>
      </c>
      <c r="M363" t="s">
        <v>763</v>
      </c>
      <c r="N363" s="1" t="s">
        <v>780</v>
      </c>
      <c r="O363">
        <v>64.94</v>
      </c>
      <c r="P363" t="s">
        <v>423</v>
      </c>
      <c r="Q363" t="s">
        <v>634</v>
      </c>
      <c r="R363" s="1" t="s">
        <v>465</v>
      </c>
      <c r="S363" s="1" t="s">
        <v>406</v>
      </c>
      <c r="T363" s="1" t="s">
        <v>406</v>
      </c>
      <c r="U363" s="1" t="s">
        <v>1587</v>
      </c>
      <c r="V363" s="1" t="s">
        <v>765</v>
      </c>
    </row>
    <row r="364" spans="1:22" x14ac:dyDescent="0.2">
      <c r="A364">
        <v>157</v>
      </c>
      <c r="B364" t="s">
        <v>331</v>
      </c>
      <c r="C364" t="s">
        <v>319</v>
      </c>
      <c r="D364" t="s">
        <v>1590</v>
      </c>
      <c r="E364" t="s">
        <v>1574</v>
      </c>
      <c r="F364">
        <v>284</v>
      </c>
      <c r="G364" t="s">
        <v>23</v>
      </c>
      <c r="H364" t="s">
        <v>423</v>
      </c>
      <c r="I364" t="s">
        <v>404</v>
      </c>
      <c r="J364" t="s">
        <v>580</v>
      </c>
      <c r="K364">
        <v>202.84299999999999</v>
      </c>
      <c r="L364" s="1" t="s">
        <v>762</v>
      </c>
      <c r="M364" t="s">
        <v>763</v>
      </c>
      <c r="N364" s="1" t="s">
        <v>781</v>
      </c>
      <c r="O364">
        <v>202.84299999999999</v>
      </c>
      <c r="P364" t="s">
        <v>423</v>
      </c>
      <c r="Q364" t="s">
        <v>634</v>
      </c>
      <c r="R364" s="1" t="s">
        <v>465</v>
      </c>
      <c r="S364" s="1" t="s">
        <v>406</v>
      </c>
      <c r="T364" s="1" t="s">
        <v>406</v>
      </c>
      <c r="U364" s="1" t="s">
        <v>1587</v>
      </c>
      <c r="V364" s="1" t="s">
        <v>765</v>
      </c>
    </row>
    <row r="365" spans="1:22" x14ac:dyDescent="0.2">
      <c r="A365">
        <v>157</v>
      </c>
      <c r="B365" t="s">
        <v>331</v>
      </c>
      <c r="C365" t="s">
        <v>319</v>
      </c>
      <c r="D365" t="s">
        <v>1590</v>
      </c>
      <c r="E365" t="s">
        <v>1574</v>
      </c>
      <c r="F365">
        <v>284</v>
      </c>
      <c r="G365" t="s">
        <v>24</v>
      </c>
      <c r="H365" t="s">
        <v>423</v>
      </c>
      <c r="I365" t="s">
        <v>404</v>
      </c>
      <c r="J365" t="s">
        <v>580</v>
      </c>
      <c r="K365">
        <v>10.86</v>
      </c>
      <c r="L365" s="1" t="s">
        <v>762</v>
      </c>
      <c r="M365" t="s">
        <v>763</v>
      </c>
      <c r="N365" s="1" t="s">
        <v>782</v>
      </c>
      <c r="O365">
        <v>10.86</v>
      </c>
      <c r="P365" t="s">
        <v>423</v>
      </c>
      <c r="Q365" t="s">
        <v>634</v>
      </c>
      <c r="R365" s="1" t="s">
        <v>465</v>
      </c>
      <c r="S365" s="1" t="s">
        <v>406</v>
      </c>
      <c r="T365" s="1" t="s">
        <v>406</v>
      </c>
      <c r="U365" s="1" t="s">
        <v>1587</v>
      </c>
      <c r="V365" s="1" t="s">
        <v>765</v>
      </c>
    </row>
    <row r="366" spans="1:22" x14ac:dyDescent="0.2">
      <c r="A366">
        <v>157</v>
      </c>
      <c r="B366" t="s">
        <v>331</v>
      </c>
      <c r="C366" t="s">
        <v>319</v>
      </c>
      <c r="D366" t="s">
        <v>1590</v>
      </c>
      <c r="E366" t="s">
        <v>1574</v>
      </c>
      <c r="F366">
        <v>284</v>
      </c>
      <c r="G366" t="s">
        <v>25</v>
      </c>
      <c r="H366" t="s">
        <v>423</v>
      </c>
      <c r="I366" t="s">
        <v>404</v>
      </c>
      <c r="J366" t="s">
        <v>580</v>
      </c>
      <c r="K366">
        <v>0.61899999999999999</v>
      </c>
      <c r="L366" s="1" t="s">
        <v>762</v>
      </c>
      <c r="M366" t="s">
        <v>763</v>
      </c>
      <c r="N366" s="1" t="s">
        <v>783</v>
      </c>
      <c r="O366">
        <v>0.61899999999999999</v>
      </c>
      <c r="P366" t="s">
        <v>423</v>
      </c>
      <c r="Q366" t="s">
        <v>634</v>
      </c>
      <c r="R366" s="1" t="s">
        <v>465</v>
      </c>
      <c r="S366" s="1" t="s">
        <v>406</v>
      </c>
      <c r="T366" s="1" t="s">
        <v>406</v>
      </c>
      <c r="U366" s="1" t="s">
        <v>1587</v>
      </c>
      <c r="V366" s="1" t="s">
        <v>765</v>
      </c>
    </row>
    <row r="367" spans="1:22" x14ac:dyDescent="0.2">
      <c r="A367">
        <v>157</v>
      </c>
      <c r="B367" t="s">
        <v>331</v>
      </c>
      <c r="C367" t="s">
        <v>319</v>
      </c>
      <c r="D367" t="s">
        <v>1590</v>
      </c>
      <c r="E367" t="s">
        <v>1574</v>
      </c>
      <c r="F367">
        <v>284</v>
      </c>
      <c r="G367" t="s">
        <v>26</v>
      </c>
      <c r="H367" t="s">
        <v>496</v>
      </c>
      <c r="I367" t="s">
        <v>404</v>
      </c>
      <c r="J367" t="s">
        <v>580</v>
      </c>
      <c r="K367">
        <v>99.97</v>
      </c>
      <c r="L367" s="1" t="s">
        <v>762</v>
      </c>
      <c r="M367" t="s">
        <v>763</v>
      </c>
      <c r="N367" s="1" t="s">
        <v>784</v>
      </c>
      <c r="O367">
        <v>99.97</v>
      </c>
      <c r="P367" t="s">
        <v>496</v>
      </c>
      <c r="Q367" t="s">
        <v>634</v>
      </c>
      <c r="R367" s="1" t="s">
        <v>465</v>
      </c>
      <c r="S367" s="1" t="s">
        <v>406</v>
      </c>
      <c r="T367" s="1" t="s">
        <v>406</v>
      </c>
      <c r="U367" s="1" t="s">
        <v>1587</v>
      </c>
      <c r="V367" s="1" t="s">
        <v>785</v>
      </c>
    </row>
    <row r="368" spans="1:22" x14ac:dyDescent="0.2">
      <c r="A368">
        <v>158</v>
      </c>
      <c r="B368" t="s">
        <v>333</v>
      </c>
      <c r="C368" t="s">
        <v>319</v>
      </c>
      <c r="D368" t="s">
        <v>477</v>
      </c>
      <c r="E368" t="s">
        <v>786</v>
      </c>
      <c r="F368">
        <v>342</v>
      </c>
      <c r="G368" t="s">
        <v>6</v>
      </c>
      <c r="H368" t="s">
        <v>493</v>
      </c>
      <c r="I368" t="s">
        <v>404</v>
      </c>
      <c r="J368" t="s">
        <v>580</v>
      </c>
      <c r="K368">
        <v>144.81</v>
      </c>
      <c r="L368" s="1" t="s">
        <v>704</v>
      </c>
      <c r="M368" t="s">
        <v>787</v>
      </c>
      <c r="N368" s="1" t="s">
        <v>788</v>
      </c>
      <c r="O368">
        <v>144.81</v>
      </c>
      <c r="P368" t="s">
        <v>493</v>
      </c>
      <c r="Q368" t="s">
        <v>634</v>
      </c>
      <c r="R368" s="1" t="s">
        <v>465</v>
      </c>
      <c r="S368" s="1" t="s">
        <v>406</v>
      </c>
      <c r="T368" s="1" t="s">
        <v>406</v>
      </c>
      <c r="U368" s="1" t="s">
        <v>789</v>
      </c>
      <c r="V368" s="1" t="s">
        <v>790</v>
      </c>
    </row>
    <row r="369" spans="1:22" x14ac:dyDescent="0.2">
      <c r="A369">
        <v>158</v>
      </c>
      <c r="B369" t="s">
        <v>333</v>
      </c>
      <c r="C369" t="s">
        <v>319</v>
      </c>
      <c r="D369" t="s">
        <v>477</v>
      </c>
      <c r="E369" t="s">
        <v>786</v>
      </c>
      <c r="F369">
        <v>342</v>
      </c>
      <c r="G369" t="s">
        <v>7</v>
      </c>
      <c r="H369" t="s">
        <v>415</v>
      </c>
      <c r="I369" t="s">
        <v>404</v>
      </c>
      <c r="J369" t="s">
        <v>580</v>
      </c>
      <c r="K369">
        <v>7.992</v>
      </c>
      <c r="L369" s="1" t="s">
        <v>704</v>
      </c>
      <c r="M369" t="s">
        <v>787</v>
      </c>
      <c r="N369" s="1" t="s">
        <v>791</v>
      </c>
      <c r="O369">
        <v>7.992</v>
      </c>
      <c r="P369" t="s">
        <v>415</v>
      </c>
      <c r="Q369" t="s">
        <v>634</v>
      </c>
      <c r="R369" s="1" t="s">
        <v>465</v>
      </c>
      <c r="S369" s="1" t="s">
        <v>406</v>
      </c>
      <c r="T369" s="1" t="s">
        <v>406</v>
      </c>
      <c r="U369" s="1" t="s">
        <v>789</v>
      </c>
      <c r="V369" s="1" t="s">
        <v>790</v>
      </c>
    </row>
    <row r="370" spans="1:22" x14ac:dyDescent="0.2">
      <c r="A370">
        <v>158</v>
      </c>
      <c r="B370" t="s">
        <v>333</v>
      </c>
      <c r="C370" t="s">
        <v>319</v>
      </c>
      <c r="D370" t="s">
        <v>477</v>
      </c>
      <c r="E370" t="s">
        <v>786</v>
      </c>
      <c r="F370">
        <v>342</v>
      </c>
      <c r="G370" t="s">
        <v>8</v>
      </c>
      <c r="H370" t="s">
        <v>415</v>
      </c>
      <c r="I370" t="s">
        <v>404</v>
      </c>
      <c r="J370" t="s">
        <v>580</v>
      </c>
      <c r="K370">
        <v>5.99</v>
      </c>
      <c r="L370" s="1" t="s">
        <v>704</v>
      </c>
      <c r="M370" t="s">
        <v>787</v>
      </c>
      <c r="N370" s="1" t="s">
        <v>792</v>
      </c>
      <c r="O370">
        <v>5.99</v>
      </c>
      <c r="P370" t="s">
        <v>415</v>
      </c>
      <c r="Q370" t="s">
        <v>634</v>
      </c>
      <c r="R370" s="1" t="s">
        <v>465</v>
      </c>
      <c r="S370" s="1" t="s">
        <v>406</v>
      </c>
      <c r="T370" s="1" t="s">
        <v>406</v>
      </c>
      <c r="U370" s="1" t="s">
        <v>789</v>
      </c>
      <c r="V370" s="1" t="s">
        <v>790</v>
      </c>
    </row>
    <row r="371" spans="1:22" ht="16" customHeight="1" x14ac:dyDescent="0.2">
      <c r="A371">
        <v>158</v>
      </c>
      <c r="B371" t="s">
        <v>333</v>
      </c>
      <c r="C371" t="s">
        <v>319</v>
      </c>
      <c r="D371" t="s">
        <v>477</v>
      </c>
      <c r="E371" t="s">
        <v>786</v>
      </c>
      <c r="F371">
        <v>342</v>
      </c>
      <c r="G371" t="s">
        <v>9</v>
      </c>
      <c r="H371" t="s">
        <v>415</v>
      </c>
      <c r="I371" t="s">
        <v>404</v>
      </c>
      <c r="J371" t="s">
        <v>405</v>
      </c>
      <c r="K371">
        <v>0</v>
      </c>
      <c r="L371" s="11" t="s">
        <v>406</v>
      </c>
      <c r="M371" t="s">
        <v>416</v>
      </c>
      <c r="N371" s="11" t="s">
        <v>417</v>
      </c>
      <c r="O371" t="s">
        <v>418</v>
      </c>
      <c r="P371" t="s">
        <v>415</v>
      </c>
      <c r="Q371">
        <v>1</v>
      </c>
      <c r="R371" s="11" t="s">
        <v>406</v>
      </c>
      <c r="S371" s="11" t="s">
        <v>406</v>
      </c>
      <c r="T371" s="11" t="s">
        <v>406</v>
      </c>
      <c r="U371" s="11" t="s">
        <v>419</v>
      </c>
      <c r="V371" s="11" t="s">
        <v>420</v>
      </c>
    </row>
    <row r="372" spans="1:22" x14ac:dyDescent="0.2">
      <c r="A372">
        <v>158</v>
      </c>
      <c r="B372" t="s">
        <v>333</v>
      </c>
      <c r="C372" t="s">
        <v>319</v>
      </c>
      <c r="D372" t="s">
        <v>477</v>
      </c>
      <c r="E372" t="s">
        <v>786</v>
      </c>
      <c r="F372">
        <v>342</v>
      </c>
      <c r="G372" t="s">
        <v>10</v>
      </c>
      <c r="H372" t="s">
        <v>415</v>
      </c>
      <c r="I372" t="s">
        <v>404</v>
      </c>
      <c r="J372" t="s">
        <v>580</v>
      </c>
      <c r="K372">
        <v>16.184000000000001</v>
      </c>
      <c r="L372" s="1" t="s">
        <v>704</v>
      </c>
      <c r="M372" t="s">
        <v>787</v>
      </c>
      <c r="N372" s="1" t="s">
        <v>793</v>
      </c>
      <c r="O372">
        <v>16.184000000000001</v>
      </c>
      <c r="P372" t="s">
        <v>415</v>
      </c>
      <c r="Q372" t="s">
        <v>634</v>
      </c>
      <c r="R372" s="1" t="s">
        <v>465</v>
      </c>
      <c r="S372" s="1" t="s">
        <v>406</v>
      </c>
      <c r="T372" s="1" t="s">
        <v>406</v>
      </c>
      <c r="U372" s="1" t="s">
        <v>789</v>
      </c>
      <c r="V372" s="1" t="s">
        <v>790</v>
      </c>
    </row>
    <row r="373" spans="1:22" x14ac:dyDescent="0.2">
      <c r="A373">
        <v>158</v>
      </c>
      <c r="B373" t="s">
        <v>333</v>
      </c>
      <c r="C373" t="s">
        <v>319</v>
      </c>
      <c r="D373" t="s">
        <v>477</v>
      </c>
      <c r="E373" t="s">
        <v>786</v>
      </c>
      <c r="F373">
        <v>342</v>
      </c>
      <c r="G373" t="s">
        <v>11</v>
      </c>
      <c r="H373" t="s">
        <v>415</v>
      </c>
      <c r="I373" t="s">
        <v>404</v>
      </c>
      <c r="J373" t="s">
        <v>580</v>
      </c>
      <c r="K373">
        <v>1.1200000000000001</v>
      </c>
      <c r="L373" s="1" t="s">
        <v>704</v>
      </c>
      <c r="M373" t="s">
        <v>787</v>
      </c>
      <c r="N373" s="1" t="s">
        <v>794</v>
      </c>
      <c r="O373">
        <v>1.1200000000000001</v>
      </c>
      <c r="P373" t="s">
        <v>415</v>
      </c>
      <c r="Q373" t="s">
        <v>634</v>
      </c>
      <c r="R373" s="1" t="s">
        <v>465</v>
      </c>
      <c r="S373" s="1" t="s">
        <v>406</v>
      </c>
      <c r="T373" s="1" t="s">
        <v>406</v>
      </c>
      <c r="U373" s="1" t="s">
        <v>789</v>
      </c>
      <c r="V373" s="1" t="s">
        <v>790</v>
      </c>
    </row>
    <row r="374" spans="1:22" x14ac:dyDescent="0.2">
      <c r="A374">
        <v>158</v>
      </c>
      <c r="B374" t="s">
        <v>333</v>
      </c>
      <c r="C374" t="s">
        <v>319</v>
      </c>
      <c r="D374" t="s">
        <v>477</v>
      </c>
      <c r="E374" t="s">
        <v>786</v>
      </c>
      <c r="F374">
        <v>342</v>
      </c>
      <c r="G374" t="s">
        <v>12</v>
      </c>
      <c r="H374" t="s">
        <v>415</v>
      </c>
      <c r="I374" t="s">
        <v>404</v>
      </c>
      <c r="J374" t="s">
        <v>580</v>
      </c>
      <c r="K374">
        <v>1.923</v>
      </c>
      <c r="L374" s="1" t="s">
        <v>704</v>
      </c>
      <c r="M374" t="s">
        <v>787</v>
      </c>
      <c r="N374" s="1" t="s">
        <v>795</v>
      </c>
      <c r="O374">
        <v>1.923</v>
      </c>
      <c r="P374" t="s">
        <v>415</v>
      </c>
      <c r="Q374" t="s">
        <v>634</v>
      </c>
      <c r="R374" s="1" t="s">
        <v>465</v>
      </c>
      <c r="S374" s="1" t="s">
        <v>406</v>
      </c>
      <c r="T374" s="1" t="s">
        <v>406</v>
      </c>
      <c r="U374" s="1" t="s">
        <v>789</v>
      </c>
      <c r="V374" s="1" t="s">
        <v>790</v>
      </c>
    </row>
    <row r="375" spans="1:22" x14ac:dyDescent="0.2">
      <c r="A375">
        <v>158</v>
      </c>
      <c r="B375" t="s">
        <v>333</v>
      </c>
      <c r="C375" t="s">
        <v>319</v>
      </c>
      <c r="D375" t="s">
        <v>477</v>
      </c>
      <c r="E375" t="s">
        <v>786</v>
      </c>
      <c r="F375">
        <v>342</v>
      </c>
      <c r="G375" t="s">
        <v>13</v>
      </c>
      <c r="H375" t="s">
        <v>403</v>
      </c>
      <c r="I375" t="s">
        <v>404</v>
      </c>
      <c r="J375" t="s">
        <v>580</v>
      </c>
      <c r="K375">
        <v>4.2699999999999996</v>
      </c>
      <c r="L375" s="1" t="s">
        <v>704</v>
      </c>
      <c r="M375" t="s">
        <v>787</v>
      </c>
      <c r="N375" s="1" t="s">
        <v>796</v>
      </c>
      <c r="O375">
        <v>4.2699999999999996</v>
      </c>
      <c r="P375" t="s">
        <v>403</v>
      </c>
      <c r="Q375" t="s">
        <v>634</v>
      </c>
      <c r="R375" s="1" t="s">
        <v>465</v>
      </c>
      <c r="S375" s="1" t="s">
        <v>406</v>
      </c>
      <c r="T375" s="1" t="s">
        <v>406</v>
      </c>
      <c r="U375" s="1" t="s">
        <v>789</v>
      </c>
      <c r="V375" s="1" t="s">
        <v>790</v>
      </c>
    </row>
    <row r="376" spans="1:22" x14ac:dyDescent="0.2">
      <c r="A376">
        <v>158</v>
      </c>
      <c r="B376" t="s">
        <v>333</v>
      </c>
      <c r="C376" t="s">
        <v>319</v>
      </c>
      <c r="D376" t="s">
        <v>477</v>
      </c>
      <c r="E376" t="s">
        <v>786</v>
      </c>
      <c r="F376">
        <v>342</v>
      </c>
      <c r="G376" t="s">
        <v>14</v>
      </c>
      <c r="H376" t="s">
        <v>403</v>
      </c>
      <c r="I376" t="s">
        <v>404</v>
      </c>
      <c r="J376" t="s">
        <v>580</v>
      </c>
      <c r="K376">
        <v>973.69999999999993</v>
      </c>
      <c r="L376" s="1" t="s">
        <v>704</v>
      </c>
      <c r="M376" t="s">
        <v>787</v>
      </c>
      <c r="N376" s="1" t="s">
        <v>797</v>
      </c>
      <c r="O376">
        <v>973.69999999999993</v>
      </c>
      <c r="P376" t="s">
        <v>403</v>
      </c>
      <c r="Q376" t="s">
        <v>634</v>
      </c>
      <c r="R376" s="1" t="s">
        <v>465</v>
      </c>
      <c r="S376" s="1" t="s">
        <v>406</v>
      </c>
      <c r="T376" s="1" t="s">
        <v>406</v>
      </c>
      <c r="U376" s="1" t="s">
        <v>483</v>
      </c>
      <c r="V376" s="1" t="s">
        <v>798</v>
      </c>
    </row>
    <row r="377" spans="1:22" x14ac:dyDescent="0.2">
      <c r="A377">
        <v>158</v>
      </c>
      <c r="B377" t="s">
        <v>333</v>
      </c>
      <c r="C377" t="s">
        <v>319</v>
      </c>
      <c r="D377" t="s">
        <v>477</v>
      </c>
      <c r="E377" t="s">
        <v>786</v>
      </c>
      <c r="F377">
        <v>342</v>
      </c>
      <c r="G377" t="s">
        <v>15</v>
      </c>
      <c r="H377" t="s">
        <v>423</v>
      </c>
      <c r="I377" t="s">
        <v>404</v>
      </c>
      <c r="J377" t="s">
        <v>580</v>
      </c>
      <c r="K377">
        <v>0.152</v>
      </c>
      <c r="L377" s="1" t="s">
        <v>704</v>
      </c>
      <c r="M377" t="s">
        <v>787</v>
      </c>
      <c r="N377" s="1" t="s">
        <v>799</v>
      </c>
      <c r="O377">
        <v>0.152</v>
      </c>
      <c r="P377" t="s">
        <v>423</v>
      </c>
      <c r="Q377" t="s">
        <v>634</v>
      </c>
      <c r="R377" s="1" t="s">
        <v>465</v>
      </c>
      <c r="S377" s="1" t="s">
        <v>406</v>
      </c>
      <c r="T377" s="1" t="s">
        <v>406</v>
      </c>
      <c r="U377" s="1" t="s">
        <v>789</v>
      </c>
      <c r="V377" s="1" t="s">
        <v>790</v>
      </c>
    </row>
    <row r="378" spans="1:22" x14ac:dyDescent="0.2">
      <c r="A378">
        <v>158</v>
      </c>
      <c r="B378" t="s">
        <v>333</v>
      </c>
      <c r="C378" t="s">
        <v>319</v>
      </c>
      <c r="D378" t="s">
        <v>477</v>
      </c>
      <c r="E378" t="s">
        <v>786</v>
      </c>
      <c r="F378">
        <v>342</v>
      </c>
      <c r="G378" t="s">
        <v>16</v>
      </c>
      <c r="H378" t="s">
        <v>423</v>
      </c>
      <c r="I378" t="s">
        <v>404</v>
      </c>
      <c r="J378" t="s">
        <v>580</v>
      </c>
      <c r="K378">
        <v>0.20180000000000001</v>
      </c>
      <c r="L378" s="1" t="s">
        <v>704</v>
      </c>
      <c r="M378" t="s">
        <v>787</v>
      </c>
      <c r="N378" s="1" t="s">
        <v>800</v>
      </c>
      <c r="O378">
        <v>0.20180000000000001</v>
      </c>
      <c r="P378" t="s">
        <v>423</v>
      </c>
      <c r="Q378" t="s">
        <v>634</v>
      </c>
      <c r="R378" s="1" t="s">
        <v>465</v>
      </c>
      <c r="S378" s="1" t="s">
        <v>406</v>
      </c>
      <c r="T378" s="1" t="s">
        <v>406</v>
      </c>
      <c r="U378" s="1" t="s">
        <v>483</v>
      </c>
      <c r="V378" s="1" t="s">
        <v>798</v>
      </c>
    </row>
    <row r="379" spans="1:22" x14ac:dyDescent="0.2">
      <c r="A379">
        <v>158</v>
      </c>
      <c r="B379" t="s">
        <v>333</v>
      </c>
      <c r="C379" t="s">
        <v>319</v>
      </c>
      <c r="D379" t="s">
        <v>477</v>
      </c>
      <c r="E379" t="s">
        <v>786</v>
      </c>
      <c r="F379">
        <v>342</v>
      </c>
      <c r="G379" t="s">
        <v>17</v>
      </c>
      <c r="H379" t="s">
        <v>423</v>
      </c>
      <c r="I379" t="s">
        <v>404</v>
      </c>
      <c r="J379" t="s">
        <v>580</v>
      </c>
      <c r="K379">
        <v>2.6509999999999989</v>
      </c>
      <c r="L379" s="1" t="s">
        <v>704</v>
      </c>
      <c r="M379" t="s">
        <v>787</v>
      </c>
      <c r="N379" s="1" t="s">
        <v>801</v>
      </c>
      <c r="O379">
        <v>2.6509999999999989</v>
      </c>
      <c r="P379" t="s">
        <v>423</v>
      </c>
      <c r="Q379" t="s">
        <v>634</v>
      </c>
      <c r="R379" s="1" t="s">
        <v>465</v>
      </c>
      <c r="S379" s="1" t="s">
        <v>406</v>
      </c>
      <c r="T379" s="1" t="s">
        <v>406</v>
      </c>
      <c r="U379" s="1" t="s">
        <v>483</v>
      </c>
      <c r="V379" s="1" t="s">
        <v>798</v>
      </c>
    </row>
    <row r="380" spans="1:22" x14ac:dyDescent="0.2">
      <c r="A380">
        <v>158</v>
      </c>
      <c r="B380" t="s">
        <v>333</v>
      </c>
      <c r="C380" t="s">
        <v>319</v>
      </c>
      <c r="D380" t="s">
        <v>477</v>
      </c>
      <c r="E380" t="s">
        <v>786</v>
      </c>
      <c r="F380">
        <v>342</v>
      </c>
      <c r="G380" t="s">
        <v>18</v>
      </c>
      <c r="H380" t="s">
        <v>423</v>
      </c>
      <c r="I380" t="s">
        <v>404</v>
      </c>
      <c r="J380" t="s">
        <v>580</v>
      </c>
      <c r="K380">
        <v>6.66</v>
      </c>
      <c r="L380" s="1" t="s">
        <v>704</v>
      </c>
      <c r="M380" t="s">
        <v>787</v>
      </c>
      <c r="N380" s="1" t="s">
        <v>802</v>
      </c>
      <c r="O380">
        <v>6.66</v>
      </c>
      <c r="P380" t="s">
        <v>423</v>
      </c>
      <c r="Q380" t="s">
        <v>634</v>
      </c>
      <c r="R380" s="1" t="s">
        <v>465</v>
      </c>
      <c r="S380" s="1" t="s">
        <v>406</v>
      </c>
      <c r="T380" s="1" t="s">
        <v>406</v>
      </c>
      <c r="U380" s="1" t="s">
        <v>789</v>
      </c>
      <c r="V380" s="1" t="s">
        <v>790</v>
      </c>
    </row>
    <row r="381" spans="1:22" x14ac:dyDescent="0.2">
      <c r="A381">
        <v>158</v>
      </c>
      <c r="B381" t="s">
        <v>333</v>
      </c>
      <c r="C381" t="s">
        <v>319</v>
      </c>
      <c r="D381" t="s">
        <v>477</v>
      </c>
      <c r="E381" t="s">
        <v>786</v>
      </c>
      <c r="F381">
        <v>342</v>
      </c>
      <c r="G381" t="s">
        <v>19</v>
      </c>
      <c r="H381" t="s">
        <v>423</v>
      </c>
      <c r="I381" t="s">
        <v>404</v>
      </c>
      <c r="J381" t="s">
        <v>580</v>
      </c>
      <c r="K381">
        <v>94.100000000000009</v>
      </c>
      <c r="L381" s="1" t="s">
        <v>704</v>
      </c>
      <c r="M381" t="s">
        <v>787</v>
      </c>
      <c r="N381" s="1" t="s">
        <v>803</v>
      </c>
      <c r="O381">
        <v>94.100000000000009</v>
      </c>
      <c r="P381" t="s">
        <v>423</v>
      </c>
      <c r="Q381" t="s">
        <v>634</v>
      </c>
      <c r="R381" s="1" t="s">
        <v>465</v>
      </c>
      <c r="S381" s="1" t="s">
        <v>406</v>
      </c>
      <c r="T381" s="1" t="s">
        <v>406</v>
      </c>
      <c r="U381" s="1" t="s">
        <v>789</v>
      </c>
      <c r="V381" s="1" t="s">
        <v>790</v>
      </c>
    </row>
    <row r="382" spans="1:22" x14ac:dyDescent="0.2">
      <c r="A382">
        <v>158</v>
      </c>
      <c r="B382" t="s">
        <v>333</v>
      </c>
      <c r="C382" t="s">
        <v>319</v>
      </c>
      <c r="D382" t="s">
        <v>477</v>
      </c>
      <c r="E382" t="s">
        <v>786</v>
      </c>
      <c r="F382">
        <v>342</v>
      </c>
      <c r="G382" t="s">
        <v>20</v>
      </c>
      <c r="H382" t="s">
        <v>423</v>
      </c>
      <c r="I382" t="s">
        <v>404</v>
      </c>
      <c r="J382" t="s">
        <v>580</v>
      </c>
      <c r="K382">
        <v>0.32869999999999999</v>
      </c>
      <c r="L382" s="1" t="s">
        <v>704</v>
      </c>
      <c r="M382" t="s">
        <v>787</v>
      </c>
      <c r="N382" s="1" t="s">
        <v>804</v>
      </c>
      <c r="O382">
        <v>0.32869999999999999</v>
      </c>
      <c r="P382" t="s">
        <v>423</v>
      </c>
      <c r="Q382" t="s">
        <v>634</v>
      </c>
      <c r="R382" s="1" t="s">
        <v>465</v>
      </c>
      <c r="S382" s="1" t="s">
        <v>406</v>
      </c>
      <c r="T382" s="1" t="s">
        <v>406</v>
      </c>
      <c r="U382" s="1" t="s">
        <v>483</v>
      </c>
      <c r="V382" s="1" t="s">
        <v>798</v>
      </c>
    </row>
    <row r="383" spans="1:22" x14ac:dyDescent="0.2">
      <c r="A383">
        <v>158</v>
      </c>
      <c r="B383" t="s">
        <v>333</v>
      </c>
      <c r="C383" t="s">
        <v>319</v>
      </c>
      <c r="D383" t="s">
        <v>477</v>
      </c>
      <c r="E383" t="s">
        <v>786</v>
      </c>
      <c r="F383">
        <v>342</v>
      </c>
      <c r="G383" t="s">
        <v>21</v>
      </c>
      <c r="H383" t="s">
        <v>423</v>
      </c>
      <c r="I383" t="s">
        <v>404</v>
      </c>
      <c r="J383" t="s">
        <v>580</v>
      </c>
      <c r="K383">
        <v>2.0089999999999999</v>
      </c>
      <c r="L383" s="1" t="s">
        <v>704</v>
      </c>
      <c r="M383" t="s">
        <v>787</v>
      </c>
      <c r="N383" s="1" t="s">
        <v>805</v>
      </c>
      <c r="O383">
        <v>2.0089999999999999</v>
      </c>
      <c r="P383" t="s">
        <v>423</v>
      </c>
      <c r="Q383" t="s">
        <v>634</v>
      </c>
      <c r="R383" s="1" t="s">
        <v>465</v>
      </c>
      <c r="S383" s="1" t="s">
        <v>406</v>
      </c>
      <c r="T383" s="1" t="s">
        <v>406</v>
      </c>
      <c r="U383" s="1" t="s">
        <v>789</v>
      </c>
      <c r="V383" s="1" t="s">
        <v>790</v>
      </c>
    </row>
    <row r="384" spans="1:22" x14ac:dyDescent="0.2">
      <c r="A384">
        <v>158</v>
      </c>
      <c r="B384" t="s">
        <v>333</v>
      </c>
      <c r="C384" t="s">
        <v>319</v>
      </c>
      <c r="D384" t="s">
        <v>477</v>
      </c>
      <c r="E384" t="s">
        <v>786</v>
      </c>
      <c r="F384">
        <v>342</v>
      </c>
      <c r="G384" t="s">
        <v>22</v>
      </c>
      <c r="H384" t="s">
        <v>423</v>
      </c>
      <c r="I384" t="s">
        <v>404</v>
      </c>
      <c r="J384" t="s">
        <v>580</v>
      </c>
      <c r="K384">
        <v>127.73</v>
      </c>
      <c r="L384" s="1" t="s">
        <v>704</v>
      </c>
      <c r="M384" t="s">
        <v>787</v>
      </c>
      <c r="N384" s="1" t="s">
        <v>806</v>
      </c>
      <c r="O384">
        <v>127.73</v>
      </c>
      <c r="P384" t="s">
        <v>423</v>
      </c>
      <c r="Q384" t="s">
        <v>634</v>
      </c>
      <c r="R384" s="1" t="s">
        <v>465</v>
      </c>
      <c r="S384" s="1" t="s">
        <v>406</v>
      </c>
      <c r="T384" s="1" t="s">
        <v>406</v>
      </c>
      <c r="U384" s="1" t="s">
        <v>789</v>
      </c>
      <c r="V384" s="1" t="s">
        <v>790</v>
      </c>
    </row>
    <row r="385" spans="1:22" x14ac:dyDescent="0.2">
      <c r="A385">
        <v>158</v>
      </c>
      <c r="B385" t="s">
        <v>333</v>
      </c>
      <c r="C385" t="s">
        <v>319</v>
      </c>
      <c r="D385" t="s">
        <v>477</v>
      </c>
      <c r="E385" t="s">
        <v>786</v>
      </c>
      <c r="F385">
        <v>342</v>
      </c>
      <c r="G385" t="s">
        <v>23</v>
      </c>
      <c r="H385" t="s">
        <v>423</v>
      </c>
      <c r="I385" t="s">
        <v>404</v>
      </c>
      <c r="J385" t="s">
        <v>580</v>
      </c>
      <c r="K385">
        <v>148.631</v>
      </c>
      <c r="L385" s="1" t="s">
        <v>704</v>
      </c>
      <c r="M385" t="s">
        <v>787</v>
      </c>
      <c r="N385" s="1" t="s">
        <v>807</v>
      </c>
      <c r="O385">
        <v>148.631</v>
      </c>
      <c r="P385" t="s">
        <v>423</v>
      </c>
      <c r="Q385" t="s">
        <v>634</v>
      </c>
      <c r="R385" s="1" t="s">
        <v>465</v>
      </c>
      <c r="S385" s="1" t="s">
        <v>406</v>
      </c>
      <c r="T385" s="1" t="s">
        <v>406</v>
      </c>
      <c r="U385" s="1" t="s">
        <v>483</v>
      </c>
      <c r="V385" s="1" t="s">
        <v>798</v>
      </c>
    </row>
    <row r="386" spans="1:22" x14ac:dyDescent="0.2">
      <c r="A386">
        <v>158</v>
      </c>
      <c r="B386" t="s">
        <v>333</v>
      </c>
      <c r="C386" t="s">
        <v>319</v>
      </c>
      <c r="D386" t="s">
        <v>477</v>
      </c>
      <c r="E386" t="s">
        <v>786</v>
      </c>
      <c r="F386">
        <v>342</v>
      </c>
      <c r="G386" t="s">
        <v>24</v>
      </c>
      <c r="H386" t="s">
        <v>423</v>
      </c>
      <c r="I386" t="s">
        <v>404</v>
      </c>
      <c r="J386" t="s">
        <v>580</v>
      </c>
      <c r="K386">
        <v>414.77699999999999</v>
      </c>
      <c r="L386" s="1" t="s">
        <v>704</v>
      </c>
      <c r="M386" t="s">
        <v>787</v>
      </c>
      <c r="N386" s="1" t="s">
        <v>808</v>
      </c>
      <c r="O386">
        <v>414.77699999999999</v>
      </c>
      <c r="P386" t="s">
        <v>423</v>
      </c>
      <c r="Q386" t="s">
        <v>634</v>
      </c>
      <c r="R386" s="1" t="s">
        <v>465</v>
      </c>
      <c r="S386" s="1" t="s">
        <v>406</v>
      </c>
      <c r="T386" s="1" t="s">
        <v>406</v>
      </c>
      <c r="U386" s="1" t="s">
        <v>483</v>
      </c>
      <c r="V386" s="1" t="s">
        <v>798</v>
      </c>
    </row>
    <row r="387" spans="1:22" x14ac:dyDescent="0.2">
      <c r="A387">
        <v>158</v>
      </c>
      <c r="B387" t="s">
        <v>333</v>
      </c>
      <c r="C387" t="s">
        <v>319</v>
      </c>
      <c r="D387" t="s">
        <v>477</v>
      </c>
      <c r="E387" t="s">
        <v>786</v>
      </c>
      <c r="F387">
        <v>342</v>
      </c>
      <c r="G387" t="s">
        <v>25</v>
      </c>
      <c r="H387" t="s">
        <v>423</v>
      </c>
      <c r="I387" t="s">
        <v>404</v>
      </c>
      <c r="J387" t="s">
        <v>580</v>
      </c>
      <c r="K387">
        <v>0.76800000000000013</v>
      </c>
      <c r="L387" s="1" t="s">
        <v>704</v>
      </c>
      <c r="M387" t="s">
        <v>787</v>
      </c>
      <c r="N387" s="1" t="s">
        <v>809</v>
      </c>
      <c r="O387">
        <v>0.76800000000000013</v>
      </c>
      <c r="P387" t="s">
        <v>423</v>
      </c>
      <c r="Q387" t="s">
        <v>634</v>
      </c>
      <c r="R387" s="1" t="s">
        <v>465</v>
      </c>
      <c r="S387" s="1" t="s">
        <v>406</v>
      </c>
      <c r="T387" s="1" t="s">
        <v>406</v>
      </c>
      <c r="U387" s="1" t="s">
        <v>483</v>
      </c>
      <c r="V387" s="1" t="s">
        <v>798</v>
      </c>
    </row>
    <row r="388" spans="1:22" x14ac:dyDescent="0.2">
      <c r="A388">
        <v>158</v>
      </c>
      <c r="B388" t="s">
        <v>333</v>
      </c>
      <c r="C388" t="s">
        <v>319</v>
      </c>
      <c r="D388" t="s">
        <v>477</v>
      </c>
      <c r="E388" t="s">
        <v>786</v>
      </c>
      <c r="F388">
        <v>342</v>
      </c>
      <c r="G388" t="s">
        <v>26</v>
      </c>
      <c r="H388" t="s">
        <v>496</v>
      </c>
      <c r="I388" t="s">
        <v>404</v>
      </c>
      <c r="J388" t="s">
        <v>580</v>
      </c>
      <c r="K388">
        <v>90.649999999999991</v>
      </c>
      <c r="L388" s="1" t="s">
        <v>704</v>
      </c>
      <c r="M388" t="s">
        <v>787</v>
      </c>
      <c r="N388" s="1" t="s">
        <v>810</v>
      </c>
      <c r="O388">
        <v>90.649999999999991</v>
      </c>
      <c r="P388" t="s">
        <v>496</v>
      </c>
      <c r="Q388" t="s">
        <v>634</v>
      </c>
      <c r="R388" s="1" t="s">
        <v>465</v>
      </c>
      <c r="S388" s="1" t="s">
        <v>406</v>
      </c>
      <c r="T388" s="1" t="s">
        <v>406</v>
      </c>
      <c r="U388" s="1" t="s">
        <v>789</v>
      </c>
      <c r="V388" s="1" t="s">
        <v>811</v>
      </c>
    </row>
    <row r="389" spans="1:22" x14ac:dyDescent="0.2">
      <c r="A389">
        <v>160</v>
      </c>
      <c r="B389" t="s">
        <v>337</v>
      </c>
      <c r="C389" t="s">
        <v>319</v>
      </c>
      <c r="D389" t="s">
        <v>1590</v>
      </c>
      <c r="E389" t="s">
        <v>1571</v>
      </c>
      <c r="F389">
        <v>821</v>
      </c>
      <c r="G389" t="s">
        <v>6</v>
      </c>
      <c r="H389" t="s">
        <v>493</v>
      </c>
      <c r="I389" t="s">
        <v>404</v>
      </c>
      <c r="J389" t="s">
        <v>580</v>
      </c>
      <c r="K389">
        <v>196.39</v>
      </c>
      <c r="L389" s="1" t="s">
        <v>704</v>
      </c>
      <c r="M389" t="s">
        <v>812</v>
      </c>
      <c r="N389" s="1" t="s">
        <v>813</v>
      </c>
      <c r="O389">
        <v>196.39</v>
      </c>
      <c r="P389" t="s">
        <v>493</v>
      </c>
      <c r="Q389" t="s">
        <v>634</v>
      </c>
      <c r="R389" s="1" t="s">
        <v>465</v>
      </c>
      <c r="S389" s="1" t="s">
        <v>406</v>
      </c>
      <c r="T389" s="1" t="s">
        <v>406</v>
      </c>
      <c r="U389" s="1" t="s">
        <v>1586</v>
      </c>
      <c r="V389" s="1" t="s">
        <v>814</v>
      </c>
    </row>
    <row r="390" spans="1:22" x14ac:dyDescent="0.2">
      <c r="A390">
        <v>160</v>
      </c>
      <c r="B390" t="s">
        <v>337</v>
      </c>
      <c r="C390" t="s">
        <v>319</v>
      </c>
      <c r="D390" t="s">
        <v>1590</v>
      </c>
      <c r="E390" t="s">
        <v>1571</v>
      </c>
      <c r="F390">
        <v>821</v>
      </c>
      <c r="G390" t="s">
        <v>7</v>
      </c>
      <c r="H390" t="s">
        <v>415</v>
      </c>
      <c r="I390" t="s">
        <v>404</v>
      </c>
      <c r="J390" t="s">
        <v>580</v>
      </c>
      <c r="K390">
        <v>3.5489999999999999</v>
      </c>
      <c r="L390" s="1" t="s">
        <v>704</v>
      </c>
      <c r="M390" t="s">
        <v>812</v>
      </c>
      <c r="N390" s="1" t="s">
        <v>815</v>
      </c>
      <c r="O390">
        <v>3.5489999999999999</v>
      </c>
      <c r="P390" t="s">
        <v>415</v>
      </c>
      <c r="Q390" t="s">
        <v>634</v>
      </c>
      <c r="R390" s="1" t="s">
        <v>465</v>
      </c>
      <c r="S390" s="1" t="s">
        <v>406</v>
      </c>
      <c r="T390" s="1" t="s">
        <v>406</v>
      </c>
      <c r="U390" s="1" t="s">
        <v>1586</v>
      </c>
      <c r="V390" s="1" t="s">
        <v>814</v>
      </c>
    </row>
    <row r="391" spans="1:22" x14ac:dyDescent="0.2">
      <c r="A391">
        <v>160</v>
      </c>
      <c r="B391" t="s">
        <v>337</v>
      </c>
      <c r="C391" t="s">
        <v>319</v>
      </c>
      <c r="D391" t="s">
        <v>1590</v>
      </c>
      <c r="E391" t="s">
        <v>1571</v>
      </c>
      <c r="F391">
        <v>821</v>
      </c>
      <c r="G391" t="s">
        <v>8</v>
      </c>
      <c r="H391" t="s">
        <v>415</v>
      </c>
      <c r="I391" t="s">
        <v>404</v>
      </c>
      <c r="J391" t="s">
        <v>580</v>
      </c>
      <c r="K391">
        <v>7.4699999999999989</v>
      </c>
      <c r="L391" s="1" t="s">
        <v>704</v>
      </c>
      <c r="M391" t="s">
        <v>812</v>
      </c>
      <c r="N391" s="1" t="s">
        <v>816</v>
      </c>
      <c r="O391">
        <v>7.4699999999999989</v>
      </c>
      <c r="P391" t="s">
        <v>415</v>
      </c>
      <c r="Q391" t="s">
        <v>634</v>
      </c>
      <c r="R391" s="1" t="s">
        <v>465</v>
      </c>
      <c r="S391" s="1" t="s">
        <v>406</v>
      </c>
      <c r="T391" s="1" t="s">
        <v>406</v>
      </c>
      <c r="U391" s="1" t="s">
        <v>1586</v>
      </c>
      <c r="V391" s="1" t="s">
        <v>814</v>
      </c>
    </row>
    <row r="392" spans="1:22" ht="16" customHeight="1" x14ac:dyDescent="0.2">
      <c r="A392">
        <v>160</v>
      </c>
      <c r="B392" t="s">
        <v>337</v>
      </c>
      <c r="C392" t="s">
        <v>319</v>
      </c>
      <c r="D392" t="s">
        <v>1590</v>
      </c>
      <c r="E392" t="s">
        <v>1571</v>
      </c>
      <c r="F392">
        <v>821</v>
      </c>
      <c r="G392" t="s">
        <v>9</v>
      </c>
      <c r="H392" t="s">
        <v>415</v>
      </c>
      <c r="I392" t="s">
        <v>404</v>
      </c>
      <c r="J392" t="s">
        <v>405</v>
      </c>
      <c r="K392">
        <v>0</v>
      </c>
      <c r="L392" s="11" t="s">
        <v>406</v>
      </c>
      <c r="M392" t="s">
        <v>416</v>
      </c>
      <c r="N392" s="11" t="s">
        <v>417</v>
      </c>
      <c r="O392" t="s">
        <v>418</v>
      </c>
      <c r="P392" t="s">
        <v>415</v>
      </c>
      <c r="Q392">
        <v>1</v>
      </c>
      <c r="R392" s="11" t="s">
        <v>406</v>
      </c>
      <c r="S392" s="11" t="s">
        <v>406</v>
      </c>
      <c r="T392" s="11" t="s">
        <v>406</v>
      </c>
      <c r="U392" s="11" t="s">
        <v>419</v>
      </c>
      <c r="V392" s="11" t="s">
        <v>420</v>
      </c>
    </row>
    <row r="393" spans="1:22" x14ac:dyDescent="0.2">
      <c r="A393">
        <v>160</v>
      </c>
      <c r="B393" t="s">
        <v>337</v>
      </c>
      <c r="C393" t="s">
        <v>319</v>
      </c>
      <c r="D393" t="s">
        <v>1590</v>
      </c>
      <c r="E393" t="s">
        <v>1571</v>
      </c>
      <c r="F393">
        <v>821</v>
      </c>
      <c r="G393" t="s">
        <v>10</v>
      </c>
      <c r="H393" t="s">
        <v>415</v>
      </c>
      <c r="I393" t="s">
        <v>404</v>
      </c>
      <c r="J393" t="s">
        <v>580</v>
      </c>
      <c r="K393">
        <v>27.984000000000002</v>
      </c>
      <c r="L393" s="1" t="s">
        <v>704</v>
      </c>
      <c r="M393" t="s">
        <v>812</v>
      </c>
      <c r="N393" s="1" t="s">
        <v>817</v>
      </c>
      <c r="O393">
        <v>27.984000000000002</v>
      </c>
      <c r="P393" t="s">
        <v>415</v>
      </c>
      <c r="Q393" t="s">
        <v>634</v>
      </c>
      <c r="R393" s="1" t="s">
        <v>465</v>
      </c>
      <c r="S393" s="1" t="s">
        <v>406</v>
      </c>
      <c r="T393" s="1" t="s">
        <v>406</v>
      </c>
      <c r="U393" s="1" t="s">
        <v>1586</v>
      </c>
      <c r="V393" s="1" t="s">
        <v>814</v>
      </c>
    </row>
    <row r="394" spans="1:22" x14ac:dyDescent="0.2">
      <c r="A394">
        <v>160</v>
      </c>
      <c r="B394" t="s">
        <v>337</v>
      </c>
      <c r="C394" t="s">
        <v>319</v>
      </c>
      <c r="D394" t="s">
        <v>1590</v>
      </c>
      <c r="E394" t="s">
        <v>1571</v>
      </c>
      <c r="F394">
        <v>821</v>
      </c>
      <c r="G394" t="s">
        <v>11</v>
      </c>
      <c r="H394" t="s">
        <v>415</v>
      </c>
      <c r="I394" t="s">
        <v>404</v>
      </c>
      <c r="J394" t="s">
        <v>580</v>
      </c>
      <c r="K394">
        <v>0.48199999999999998</v>
      </c>
      <c r="L394" s="1" t="s">
        <v>704</v>
      </c>
      <c r="M394" t="s">
        <v>812</v>
      </c>
      <c r="N394" s="1" t="s">
        <v>818</v>
      </c>
      <c r="O394">
        <v>0.48199999999999998</v>
      </c>
      <c r="P394" t="s">
        <v>415</v>
      </c>
      <c r="Q394" t="s">
        <v>634</v>
      </c>
      <c r="R394" s="1" t="s">
        <v>465</v>
      </c>
      <c r="S394" s="1" t="s">
        <v>406</v>
      </c>
      <c r="T394" s="1" t="s">
        <v>406</v>
      </c>
      <c r="U394" s="1" t="s">
        <v>1586</v>
      </c>
      <c r="V394" s="1" t="s">
        <v>814</v>
      </c>
    </row>
    <row r="395" spans="1:22" x14ac:dyDescent="0.2">
      <c r="A395">
        <v>160</v>
      </c>
      <c r="B395" t="s">
        <v>337</v>
      </c>
      <c r="C395" t="s">
        <v>319</v>
      </c>
      <c r="D395" t="s">
        <v>1590</v>
      </c>
      <c r="E395" t="s">
        <v>1571</v>
      </c>
      <c r="F395">
        <v>821</v>
      </c>
      <c r="G395" t="s">
        <v>12</v>
      </c>
      <c r="H395" t="s">
        <v>415</v>
      </c>
      <c r="I395" t="s">
        <v>404</v>
      </c>
      <c r="J395" t="s">
        <v>580</v>
      </c>
      <c r="K395">
        <v>1.4370000000000001</v>
      </c>
      <c r="L395" s="1" t="s">
        <v>704</v>
      </c>
      <c r="M395" t="s">
        <v>812</v>
      </c>
      <c r="N395" s="1" t="s">
        <v>819</v>
      </c>
      <c r="O395">
        <v>1.4370000000000001</v>
      </c>
      <c r="P395" t="s">
        <v>415</v>
      </c>
      <c r="Q395" t="s">
        <v>634</v>
      </c>
      <c r="R395" s="1" t="s">
        <v>465</v>
      </c>
      <c r="S395" s="1" t="s">
        <v>406</v>
      </c>
      <c r="T395" s="1" t="s">
        <v>406</v>
      </c>
      <c r="U395" s="1" t="s">
        <v>1586</v>
      </c>
      <c r="V395" s="1" t="s">
        <v>814</v>
      </c>
    </row>
    <row r="396" spans="1:22" x14ac:dyDescent="0.2">
      <c r="A396">
        <v>160</v>
      </c>
      <c r="B396" t="s">
        <v>337</v>
      </c>
      <c r="C396" t="s">
        <v>319</v>
      </c>
      <c r="D396" t="s">
        <v>1590</v>
      </c>
      <c r="E396" t="s">
        <v>1571</v>
      </c>
      <c r="F396">
        <v>821</v>
      </c>
      <c r="G396" t="s">
        <v>13</v>
      </c>
      <c r="H396" t="s">
        <v>403</v>
      </c>
      <c r="I396" t="s">
        <v>404</v>
      </c>
      <c r="J396" t="s">
        <v>580</v>
      </c>
      <c r="K396">
        <v>6.1000000000000014</v>
      </c>
      <c r="L396" s="1" t="s">
        <v>704</v>
      </c>
      <c r="M396" t="s">
        <v>812</v>
      </c>
      <c r="N396" s="1" t="s">
        <v>820</v>
      </c>
      <c r="O396">
        <v>6.1000000000000014</v>
      </c>
      <c r="P396" t="s">
        <v>403</v>
      </c>
      <c r="Q396" t="s">
        <v>634</v>
      </c>
      <c r="R396" s="1" t="s">
        <v>465</v>
      </c>
      <c r="S396" s="1" t="s">
        <v>406</v>
      </c>
      <c r="T396" s="1" t="s">
        <v>406</v>
      </c>
      <c r="U396" s="1" t="s">
        <v>1586</v>
      </c>
      <c r="V396" s="1" t="s">
        <v>814</v>
      </c>
    </row>
    <row r="397" spans="1:22" x14ac:dyDescent="0.2">
      <c r="A397">
        <v>160</v>
      </c>
      <c r="B397" t="s">
        <v>337</v>
      </c>
      <c r="C397" t="s">
        <v>319</v>
      </c>
      <c r="D397" t="s">
        <v>1590</v>
      </c>
      <c r="E397" t="s">
        <v>1571</v>
      </c>
      <c r="F397">
        <v>821</v>
      </c>
      <c r="G397" t="s">
        <v>14</v>
      </c>
      <c r="H397" t="s">
        <v>403</v>
      </c>
      <c r="I397" t="s">
        <v>404</v>
      </c>
      <c r="J397" t="s">
        <v>580</v>
      </c>
      <c r="K397">
        <v>1785.35</v>
      </c>
      <c r="L397" s="1" t="s">
        <v>704</v>
      </c>
      <c r="M397" t="s">
        <v>812</v>
      </c>
      <c r="N397" s="1" t="s">
        <v>821</v>
      </c>
      <c r="O397">
        <v>1785.35</v>
      </c>
      <c r="P397" t="s">
        <v>403</v>
      </c>
      <c r="Q397" t="s">
        <v>634</v>
      </c>
      <c r="R397" s="1" t="s">
        <v>465</v>
      </c>
      <c r="S397" s="1" t="s">
        <v>406</v>
      </c>
      <c r="T397" s="1" t="s">
        <v>406</v>
      </c>
      <c r="U397" s="1" t="s">
        <v>1586</v>
      </c>
      <c r="V397" s="1" t="s">
        <v>814</v>
      </c>
    </row>
    <row r="398" spans="1:22" x14ac:dyDescent="0.2">
      <c r="A398">
        <v>160</v>
      </c>
      <c r="B398" t="s">
        <v>337</v>
      </c>
      <c r="C398" t="s">
        <v>319</v>
      </c>
      <c r="D398" t="s">
        <v>1590</v>
      </c>
      <c r="E398" t="s">
        <v>1571</v>
      </c>
      <c r="F398">
        <v>821</v>
      </c>
      <c r="G398" t="s">
        <v>15</v>
      </c>
      <c r="H398" t="s">
        <v>423</v>
      </c>
      <c r="I398" t="s">
        <v>404</v>
      </c>
      <c r="J398" t="s">
        <v>580</v>
      </c>
      <c r="K398">
        <v>7.3200000000000001E-2</v>
      </c>
      <c r="L398" s="1" t="s">
        <v>704</v>
      </c>
      <c r="M398" t="s">
        <v>812</v>
      </c>
      <c r="N398" s="1" t="s">
        <v>822</v>
      </c>
      <c r="O398">
        <v>7.3200000000000001E-2</v>
      </c>
      <c r="P398" t="s">
        <v>423</v>
      </c>
      <c r="Q398" t="s">
        <v>634</v>
      </c>
      <c r="R398" s="1" t="s">
        <v>465</v>
      </c>
      <c r="S398" s="1" t="s">
        <v>406</v>
      </c>
      <c r="T398" s="1" t="s">
        <v>406</v>
      </c>
      <c r="U398" s="1" t="s">
        <v>1586</v>
      </c>
      <c r="V398" s="1" t="s">
        <v>814</v>
      </c>
    </row>
    <row r="399" spans="1:22" x14ac:dyDescent="0.2">
      <c r="A399">
        <v>160</v>
      </c>
      <c r="B399" t="s">
        <v>337</v>
      </c>
      <c r="C399" t="s">
        <v>319</v>
      </c>
      <c r="D399" t="s">
        <v>1590</v>
      </c>
      <c r="E399" t="s">
        <v>1571</v>
      </c>
      <c r="F399">
        <v>821</v>
      </c>
      <c r="G399" t="s">
        <v>16</v>
      </c>
      <c r="H399" t="s">
        <v>423</v>
      </c>
      <c r="I399" t="s">
        <v>404</v>
      </c>
      <c r="J399" t="s">
        <v>580</v>
      </c>
      <c r="K399">
        <v>0.1186</v>
      </c>
      <c r="L399" s="1" t="s">
        <v>704</v>
      </c>
      <c r="M399" t="s">
        <v>812</v>
      </c>
      <c r="N399" s="1" t="s">
        <v>823</v>
      </c>
      <c r="O399">
        <v>0.1186</v>
      </c>
      <c r="P399" t="s">
        <v>423</v>
      </c>
      <c r="Q399" t="s">
        <v>634</v>
      </c>
      <c r="R399" s="1" t="s">
        <v>465</v>
      </c>
      <c r="S399" s="1" t="s">
        <v>406</v>
      </c>
      <c r="T399" s="1" t="s">
        <v>406</v>
      </c>
      <c r="U399" s="1" t="s">
        <v>1586</v>
      </c>
      <c r="V399" s="1" t="s">
        <v>814</v>
      </c>
    </row>
    <row r="400" spans="1:22" x14ac:dyDescent="0.2">
      <c r="A400">
        <v>160</v>
      </c>
      <c r="B400" t="s">
        <v>337</v>
      </c>
      <c r="C400" t="s">
        <v>319</v>
      </c>
      <c r="D400" t="s">
        <v>1590</v>
      </c>
      <c r="E400" t="s">
        <v>1571</v>
      </c>
      <c r="F400">
        <v>821</v>
      </c>
      <c r="G400" t="s">
        <v>17</v>
      </c>
      <c r="H400" t="s">
        <v>423</v>
      </c>
      <c r="I400" t="s">
        <v>404</v>
      </c>
      <c r="J400" t="s">
        <v>580</v>
      </c>
      <c r="K400">
        <v>1.8169999999999999</v>
      </c>
      <c r="L400" s="1" t="s">
        <v>704</v>
      </c>
      <c r="M400" t="s">
        <v>812</v>
      </c>
      <c r="N400" s="1" t="s">
        <v>824</v>
      </c>
      <c r="O400">
        <v>1.8169999999999999</v>
      </c>
      <c r="P400" t="s">
        <v>423</v>
      </c>
      <c r="Q400" t="s">
        <v>634</v>
      </c>
      <c r="R400" s="1" t="s">
        <v>465</v>
      </c>
      <c r="S400" s="1" t="s">
        <v>406</v>
      </c>
      <c r="T400" s="1" t="s">
        <v>406</v>
      </c>
      <c r="U400" s="1" t="s">
        <v>1586</v>
      </c>
      <c r="V400" s="1" t="s">
        <v>814</v>
      </c>
    </row>
    <row r="401" spans="1:22" x14ac:dyDescent="0.2">
      <c r="A401">
        <v>160</v>
      </c>
      <c r="B401" t="s">
        <v>337</v>
      </c>
      <c r="C401" t="s">
        <v>319</v>
      </c>
      <c r="D401" t="s">
        <v>1590</v>
      </c>
      <c r="E401" t="s">
        <v>1571</v>
      </c>
      <c r="F401">
        <v>821</v>
      </c>
      <c r="G401" t="s">
        <v>18</v>
      </c>
      <c r="H401" t="s">
        <v>423</v>
      </c>
      <c r="I401" t="s">
        <v>404</v>
      </c>
      <c r="J401" t="s">
        <v>580</v>
      </c>
      <c r="K401">
        <v>2.76</v>
      </c>
      <c r="L401" s="1" t="s">
        <v>704</v>
      </c>
      <c r="M401" t="s">
        <v>812</v>
      </c>
      <c r="N401" s="1" t="s">
        <v>825</v>
      </c>
      <c r="O401">
        <v>2.76</v>
      </c>
      <c r="P401" t="s">
        <v>423</v>
      </c>
      <c r="Q401" t="s">
        <v>634</v>
      </c>
      <c r="R401" s="1" t="s">
        <v>465</v>
      </c>
      <c r="S401" s="1" t="s">
        <v>406</v>
      </c>
      <c r="T401" s="1" t="s">
        <v>406</v>
      </c>
      <c r="U401" s="1" t="s">
        <v>1586</v>
      </c>
      <c r="V401" s="1" t="s">
        <v>814</v>
      </c>
    </row>
    <row r="402" spans="1:22" x14ac:dyDescent="0.2">
      <c r="A402">
        <v>160</v>
      </c>
      <c r="B402" t="s">
        <v>337</v>
      </c>
      <c r="C402" t="s">
        <v>319</v>
      </c>
      <c r="D402" t="s">
        <v>1590</v>
      </c>
      <c r="E402" t="s">
        <v>1571</v>
      </c>
      <c r="F402">
        <v>821</v>
      </c>
      <c r="G402" t="s">
        <v>19</v>
      </c>
      <c r="H402" t="s">
        <v>423</v>
      </c>
      <c r="I402" t="s">
        <v>404</v>
      </c>
      <c r="J402" t="s">
        <v>580</v>
      </c>
      <c r="K402">
        <v>34.61</v>
      </c>
      <c r="L402" s="1" t="s">
        <v>704</v>
      </c>
      <c r="M402" t="s">
        <v>812</v>
      </c>
      <c r="N402" s="1" t="s">
        <v>826</v>
      </c>
      <c r="O402">
        <v>34.61</v>
      </c>
      <c r="P402" t="s">
        <v>423</v>
      </c>
      <c r="Q402" t="s">
        <v>634</v>
      </c>
      <c r="R402" s="1" t="s">
        <v>465</v>
      </c>
      <c r="S402" s="1" t="s">
        <v>406</v>
      </c>
      <c r="T402" s="1" t="s">
        <v>406</v>
      </c>
      <c r="U402" s="1" t="s">
        <v>1586</v>
      </c>
      <c r="V402" s="1" t="s">
        <v>814</v>
      </c>
    </row>
    <row r="403" spans="1:22" x14ac:dyDescent="0.2">
      <c r="A403">
        <v>160</v>
      </c>
      <c r="B403" t="s">
        <v>337</v>
      </c>
      <c r="C403" t="s">
        <v>319</v>
      </c>
      <c r="D403" t="s">
        <v>1590</v>
      </c>
      <c r="E403" t="s">
        <v>1571</v>
      </c>
      <c r="F403">
        <v>821</v>
      </c>
      <c r="G403" t="s">
        <v>20</v>
      </c>
      <c r="H403" t="s">
        <v>423</v>
      </c>
      <c r="I403" t="s">
        <v>404</v>
      </c>
      <c r="J403" t="s">
        <v>580</v>
      </c>
      <c r="K403">
        <v>0.1376</v>
      </c>
      <c r="L403" s="1" t="s">
        <v>704</v>
      </c>
      <c r="M403" t="s">
        <v>812</v>
      </c>
      <c r="N403" s="1" t="s">
        <v>827</v>
      </c>
      <c r="O403">
        <v>0.1376</v>
      </c>
      <c r="P403" t="s">
        <v>423</v>
      </c>
      <c r="Q403" t="s">
        <v>634</v>
      </c>
      <c r="R403" s="1" t="s">
        <v>465</v>
      </c>
      <c r="S403" s="1" t="s">
        <v>406</v>
      </c>
      <c r="T403" s="1" t="s">
        <v>406</v>
      </c>
      <c r="U403" s="1" t="s">
        <v>1586</v>
      </c>
      <c r="V403" s="1" t="s">
        <v>814</v>
      </c>
    </row>
    <row r="404" spans="1:22" x14ac:dyDescent="0.2">
      <c r="A404">
        <v>160</v>
      </c>
      <c r="B404" t="s">
        <v>337</v>
      </c>
      <c r="C404" t="s">
        <v>319</v>
      </c>
      <c r="D404" t="s">
        <v>1590</v>
      </c>
      <c r="E404" t="s">
        <v>1571</v>
      </c>
      <c r="F404">
        <v>821</v>
      </c>
      <c r="G404" t="s">
        <v>21</v>
      </c>
      <c r="H404" t="s">
        <v>423</v>
      </c>
      <c r="I404" t="s">
        <v>404</v>
      </c>
      <c r="J404" t="s">
        <v>580</v>
      </c>
      <c r="K404">
        <v>0.8450000000000002</v>
      </c>
      <c r="L404" s="1" t="s">
        <v>704</v>
      </c>
      <c r="M404" t="s">
        <v>812</v>
      </c>
      <c r="N404" s="1" t="s">
        <v>828</v>
      </c>
      <c r="O404">
        <v>0.8450000000000002</v>
      </c>
      <c r="P404" t="s">
        <v>423</v>
      </c>
      <c r="Q404" t="s">
        <v>634</v>
      </c>
      <c r="R404" s="1" t="s">
        <v>465</v>
      </c>
      <c r="S404" s="1" t="s">
        <v>406</v>
      </c>
      <c r="T404" s="1" t="s">
        <v>406</v>
      </c>
      <c r="U404" s="1" t="s">
        <v>1586</v>
      </c>
      <c r="V404" s="1" t="s">
        <v>814</v>
      </c>
    </row>
    <row r="405" spans="1:22" x14ac:dyDescent="0.2">
      <c r="A405">
        <v>160</v>
      </c>
      <c r="B405" t="s">
        <v>337</v>
      </c>
      <c r="C405" t="s">
        <v>319</v>
      </c>
      <c r="D405" t="s">
        <v>1590</v>
      </c>
      <c r="E405" t="s">
        <v>1571</v>
      </c>
      <c r="F405">
        <v>821</v>
      </c>
      <c r="G405" t="s">
        <v>22</v>
      </c>
      <c r="H405" t="s">
        <v>423</v>
      </c>
      <c r="I405" t="s">
        <v>404</v>
      </c>
      <c r="J405" t="s">
        <v>580</v>
      </c>
      <c r="K405">
        <v>53.66</v>
      </c>
      <c r="L405" s="1" t="s">
        <v>704</v>
      </c>
      <c r="M405" t="s">
        <v>812</v>
      </c>
      <c r="N405" s="1" t="s">
        <v>829</v>
      </c>
      <c r="O405">
        <v>53.66</v>
      </c>
      <c r="P405" t="s">
        <v>423</v>
      </c>
      <c r="Q405" t="s">
        <v>634</v>
      </c>
      <c r="R405" s="1" t="s">
        <v>465</v>
      </c>
      <c r="S405" s="1" t="s">
        <v>406</v>
      </c>
      <c r="T405" s="1" t="s">
        <v>406</v>
      </c>
      <c r="U405" s="1" t="s">
        <v>1586</v>
      </c>
      <c r="V405" s="1" t="s">
        <v>814</v>
      </c>
    </row>
    <row r="406" spans="1:22" x14ac:dyDescent="0.2">
      <c r="A406">
        <v>160</v>
      </c>
      <c r="B406" t="s">
        <v>337</v>
      </c>
      <c r="C406" t="s">
        <v>319</v>
      </c>
      <c r="D406" t="s">
        <v>1590</v>
      </c>
      <c r="E406" t="s">
        <v>1571</v>
      </c>
      <c r="F406">
        <v>821</v>
      </c>
      <c r="G406" t="s">
        <v>23</v>
      </c>
      <c r="H406" t="s">
        <v>423</v>
      </c>
      <c r="I406" t="s">
        <v>404</v>
      </c>
      <c r="J406" t="s">
        <v>580</v>
      </c>
      <c r="K406">
        <v>76.552999999999997</v>
      </c>
      <c r="L406" s="1" t="s">
        <v>704</v>
      </c>
      <c r="M406" t="s">
        <v>812</v>
      </c>
      <c r="N406" s="1" t="s">
        <v>830</v>
      </c>
      <c r="O406">
        <v>76.552999999999997</v>
      </c>
      <c r="P406" t="s">
        <v>423</v>
      </c>
      <c r="Q406" t="s">
        <v>634</v>
      </c>
      <c r="R406" s="1" t="s">
        <v>465</v>
      </c>
      <c r="S406" s="1" t="s">
        <v>406</v>
      </c>
      <c r="T406" s="1" t="s">
        <v>406</v>
      </c>
      <c r="U406" s="1" t="s">
        <v>1586</v>
      </c>
      <c r="V406" s="1" t="s">
        <v>814</v>
      </c>
    </row>
    <row r="407" spans="1:22" x14ac:dyDescent="0.2">
      <c r="A407">
        <v>160</v>
      </c>
      <c r="B407" t="s">
        <v>337</v>
      </c>
      <c r="C407" t="s">
        <v>319</v>
      </c>
      <c r="D407" t="s">
        <v>1590</v>
      </c>
      <c r="E407" t="s">
        <v>1571</v>
      </c>
      <c r="F407">
        <v>821</v>
      </c>
      <c r="G407" t="s">
        <v>24</v>
      </c>
      <c r="H407" t="s">
        <v>423</v>
      </c>
      <c r="I407" t="s">
        <v>404</v>
      </c>
      <c r="J407" t="s">
        <v>580</v>
      </c>
      <c r="K407">
        <v>406.61399999999998</v>
      </c>
      <c r="L407" s="1" t="s">
        <v>704</v>
      </c>
      <c r="M407" t="s">
        <v>812</v>
      </c>
      <c r="N407" s="1" t="s">
        <v>831</v>
      </c>
      <c r="O407">
        <v>406.61399999999998</v>
      </c>
      <c r="P407" t="s">
        <v>423</v>
      </c>
      <c r="Q407" t="s">
        <v>634</v>
      </c>
      <c r="R407" s="1" t="s">
        <v>465</v>
      </c>
      <c r="S407" s="1" t="s">
        <v>406</v>
      </c>
      <c r="T407" s="1" t="s">
        <v>406</v>
      </c>
      <c r="U407" s="1" t="s">
        <v>1586</v>
      </c>
      <c r="V407" s="1" t="s">
        <v>814</v>
      </c>
    </row>
    <row r="408" spans="1:22" x14ac:dyDescent="0.2">
      <c r="A408">
        <v>160</v>
      </c>
      <c r="B408" t="s">
        <v>337</v>
      </c>
      <c r="C408" t="s">
        <v>319</v>
      </c>
      <c r="D408" t="s">
        <v>1590</v>
      </c>
      <c r="E408" t="s">
        <v>1571</v>
      </c>
      <c r="F408">
        <v>821</v>
      </c>
      <c r="G408" t="s">
        <v>25</v>
      </c>
      <c r="H408" t="s">
        <v>423</v>
      </c>
      <c r="I408" t="s">
        <v>404</v>
      </c>
      <c r="J408" t="s">
        <v>580</v>
      </c>
      <c r="K408">
        <v>0.54400000000000004</v>
      </c>
      <c r="L408" s="1" t="s">
        <v>704</v>
      </c>
      <c r="M408" t="s">
        <v>812</v>
      </c>
      <c r="N408" s="1" t="s">
        <v>832</v>
      </c>
      <c r="O408">
        <v>0.54400000000000004</v>
      </c>
      <c r="P408" t="s">
        <v>423</v>
      </c>
      <c r="Q408" t="s">
        <v>634</v>
      </c>
      <c r="R408" s="1" t="s">
        <v>465</v>
      </c>
      <c r="S408" s="1" t="s">
        <v>406</v>
      </c>
      <c r="T408" s="1" t="s">
        <v>406</v>
      </c>
      <c r="U408" s="1" t="s">
        <v>1586</v>
      </c>
      <c r="V408" s="1" t="s">
        <v>814</v>
      </c>
    </row>
    <row r="409" spans="1:22" x14ac:dyDescent="0.2">
      <c r="A409">
        <v>160</v>
      </c>
      <c r="B409" t="s">
        <v>337</v>
      </c>
      <c r="C409" t="s">
        <v>319</v>
      </c>
      <c r="D409" t="s">
        <v>1590</v>
      </c>
      <c r="E409" t="s">
        <v>1571</v>
      </c>
      <c r="F409">
        <v>821</v>
      </c>
      <c r="G409" t="s">
        <v>26</v>
      </c>
      <c r="H409" t="s">
        <v>496</v>
      </c>
      <c r="I409" t="s">
        <v>404</v>
      </c>
      <c r="J409" t="s">
        <v>580</v>
      </c>
      <c r="K409">
        <v>96.460000000000008</v>
      </c>
      <c r="L409" s="1" t="s">
        <v>704</v>
      </c>
      <c r="M409" t="s">
        <v>812</v>
      </c>
      <c r="N409" s="1" t="s">
        <v>833</v>
      </c>
      <c r="O409">
        <v>96.460000000000008</v>
      </c>
      <c r="P409" t="s">
        <v>496</v>
      </c>
      <c r="Q409" t="s">
        <v>634</v>
      </c>
      <c r="R409" s="1" t="s">
        <v>465</v>
      </c>
      <c r="S409" s="1" t="s">
        <v>406</v>
      </c>
      <c r="T409" s="1" t="s">
        <v>406</v>
      </c>
      <c r="U409" s="1" t="s">
        <v>1586</v>
      </c>
      <c r="V409" s="1" t="s">
        <v>834</v>
      </c>
    </row>
    <row r="410" spans="1:22" x14ac:dyDescent="0.2">
      <c r="A410">
        <v>162</v>
      </c>
      <c r="B410" t="s">
        <v>341</v>
      </c>
      <c r="C410" t="s">
        <v>319</v>
      </c>
      <c r="D410" t="s">
        <v>1590</v>
      </c>
      <c r="E410" t="s">
        <v>1572</v>
      </c>
      <c r="F410">
        <v>83</v>
      </c>
      <c r="G410" t="s">
        <v>6</v>
      </c>
      <c r="H410" t="s">
        <v>493</v>
      </c>
      <c r="I410" t="s">
        <v>404</v>
      </c>
      <c r="J410" t="s">
        <v>580</v>
      </c>
      <c r="K410">
        <v>143.22</v>
      </c>
      <c r="L410" s="1" t="s">
        <v>835</v>
      </c>
      <c r="M410" t="s">
        <v>836</v>
      </c>
      <c r="N410" s="1" t="s">
        <v>837</v>
      </c>
      <c r="O410">
        <v>143.22</v>
      </c>
      <c r="P410" t="s">
        <v>493</v>
      </c>
      <c r="Q410" t="s">
        <v>634</v>
      </c>
      <c r="R410" s="1" t="s">
        <v>465</v>
      </c>
      <c r="S410" s="1" t="s">
        <v>406</v>
      </c>
      <c r="T410" s="1" t="s">
        <v>406</v>
      </c>
      <c r="U410" s="1" t="s">
        <v>838</v>
      </c>
      <c r="V410" s="1" t="s">
        <v>839</v>
      </c>
    </row>
    <row r="411" spans="1:22" x14ac:dyDescent="0.2">
      <c r="A411">
        <v>162</v>
      </c>
      <c r="B411" t="s">
        <v>341</v>
      </c>
      <c r="C411" t="s">
        <v>319</v>
      </c>
      <c r="D411" t="s">
        <v>1590</v>
      </c>
      <c r="E411" t="s">
        <v>1572</v>
      </c>
      <c r="F411">
        <v>83</v>
      </c>
      <c r="G411" t="s">
        <v>7</v>
      </c>
      <c r="H411" t="s">
        <v>415</v>
      </c>
      <c r="I411" t="s">
        <v>404</v>
      </c>
      <c r="J411" t="s">
        <v>580</v>
      </c>
      <c r="K411">
        <v>3.2429999999999999</v>
      </c>
      <c r="L411" s="1" t="s">
        <v>835</v>
      </c>
      <c r="M411" t="s">
        <v>836</v>
      </c>
      <c r="N411" s="1" t="s">
        <v>840</v>
      </c>
      <c r="O411">
        <v>3.2429999999999999</v>
      </c>
      <c r="P411" t="s">
        <v>415</v>
      </c>
      <c r="Q411" t="s">
        <v>634</v>
      </c>
      <c r="R411" s="1" t="s">
        <v>465</v>
      </c>
      <c r="S411" s="1" t="s">
        <v>406</v>
      </c>
      <c r="T411" s="1" t="s">
        <v>406</v>
      </c>
      <c r="U411" s="1" t="s">
        <v>838</v>
      </c>
      <c r="V411" s="1" t="s">
        <v>839</v>
      </c>
    </row>
    <row r="412" spans="1:22" x14ac:dyDescent="0.2">
      <c r="A412">
        <v>162</v>
      </c>
      <c r="B412" t="s">
        <v>341</v>
      </c>
      <c r="C412" t="s">
        <v>319</v>
      </c>
      <c r="D412" t="s">
        <v>1590</v>
      </c>
      <c r="E412" t="s">
        <v>1572</v>
      </c>
      <c r="F412">
        <v>83</v>
      </c>
      <c r="G412" t="s">
        <v>8</v>
      </c>
      <c r="H412" t="s">
        <v>415</v>
      </c>
      <c r="I412" t="s">
        <v>404</v>
      </c>
      <c r="J412" t="s">
        <v>580</v>
      </c>
      <c r="K412">
        <v>6.2960000000000003</v>
      </c>
      <c r="L412" s="1" t="s">
        <v>835</v>
      </c>
      <c r="M412" t="s">
        <v>836</v>
      </c>
      <c r="N412" s="1" t="s">
        <v>841</v>
      </c>
      <c r="O412">
        <v>6.2960000000000003</v>
      </c>
      <c r="P412" t="s">
        <v>415</v>
      </c>
      <c r="Q412" t="s">
        <v>634</v>
      </c>
      <c r="R412" s="1" t="s">
        <v>465</v>
      </c>
      <c r="S412" s="1" t="s">
        <v>406</v>
      </c>
      <c r="T412" s="1" t="s">
        <v>406</v>
      </c>
      <c r="U412" s="1" t="s">
        <v>838</v>
      </c>
      <c r="V412" s="1" t="s">
        <v>839</v>
      </c>
    </row>
    <row r="413" spans="1:22" ht="16" customHeight="1" x14ac:dyDescent="0.2">
      <c r="A413">
        <v>162</v>
      </c>
      <c r="B413" t="s">
        <v>341</v>
      </c>
      <c r="C413" t="s">
        <v>319</v>
      </c>
      <c r="D413" t="s">
        <v>1590</v>
      </c>
      <c r="E413" t="s">
        <v>1572</v>
      </c>
      <c r="F413">
        <v>83</v>
      </c>
      <c r="G413" t="s">
        <v>9</v>
      </c>
      <c r="H413" t="s">
        <v>415</v>
      </c>
      <c r="I413" t="s">
        <v>404</v>
      </c>
      <c r="J413" t="s">
        <v>405</v>
      </c>
      <c r="K413">
        <v>0</v>
      </c>
      <c r="L413" s="11" t="s">
        <v>406</v>
      </c>
      <c r="M413" t="s">
        <v>416</v>
      </c>
      <c r="N413" s="11" t="s">
        <v>417</v>
      </c>
      <c r="O413" t="s">
        <v>418</v>
      </c>
      <c r="P413" t="s">
        <v>415</v>
      </c>
      <c r="Q413">
        <v>1</v>
      </c>
      <c r="R413" s="11" t="s">
        <v>406</v>
      </c>
      <c r="S413" s="11" t="s">
        <v>406</v>
      </c>
      <c r="T413" s="11" t="s">
        <v>406</v>
      </c>
      <c r="U413" s="11" t="s">
        <v>419</v>
      </c>
      <c r="V413" s="11" t="s">
        <v>420</v>
      </c>
    </row>
    <row r="414" spans="1:22" x14ac:dyDescent="0.2">
      <c r="A414">
        <v>162</v>
      </c>
      <c r="B414" t="s">
        <v>341</v>
      </c>
      <c r="C414" t="s">
        <v>319</v>
      </c>
      <c r="D414" t="s">
        <v>1590</v>
      </c>
      <c r="E414" t="s">
        <v>1572</v>
      </c>
      <c r="F414">
        <v>83</v>
      </c>
      <c r="G414" t="s">
        <v>10</v>
      </c>
      <c r="H414" t="s">
        <v>415</v>
      </c>
      <c r="I414" t="s">
        <v>404</v>
      </c>
      <c r="J414" t="s">
        <v>580</v>
      </c>
      <c r="K414">
        <v>18.17400000000001</v>
      </c>
      <c r="L414" s="1" t="s">
        <v>835</v>
      </c>
      <c r="M414" t="s">
        <v>836</v>
      </c>
      <c r="N414" s="1" t="s">
        <v>842</v>
      </c>
      <c r="O414">
        <v>18.17400000000001</v>
      </c>
      <c r="P414" t="s">
        <v>415</v>
      </c>
      <c r="Q414" t="s">
        <v>634</v>
      </c>
      <c r="R414" s="1" t="s">
        <v>465</v>
      </c>
      <c r="S414" s="1" t="s">
        <v>406</v>
      </c>
      <c r="T414" s="1" t="s">
        <v>406</v>
      </c>
      <c r="U414" s="1" t="s">
        <v>838</v>
      </c>
      <c r="V414" s="1" t="s">
        <v>839</v>
      </c>
    </row>
    <row r="415" spans="1:22" x14ac:dyDescent="0.2">
      <c r="A415">
        <v>162</v>
      </c>
      <c r="B415" t="s">
        <v>341</v>
      </c>
      <c r="C415" t="s">
        <v>319</v>
      </c>
      <c r="D415" t="s">
        <v>1590</v>
      </c>
      <c r="E415" t="s">
        <v>1572</v>
      </c>
      <c r="F415">
        <v>83</v>
      </c>
      <c r="G415" t="s">
        <v>11</v>
      </c>
      <c r="H415" t="s">
        <v>415</v>
      </c>
      <c r="I415" t="s">
        <v>404</v>
      </c>
      <c r="J415" t="s">
        <v>580</v>
      </c>
      <c r="K415">
        <v>1.044</v>
      </c>
      <c r="L415" s="1" t="s">
        <v>835</v>
      </c>
      <c r="M415" t="s">
        <v>836</v>
      </c>
      <c r="N415" s="1" t="s">
        <v>843</v>
      </c>
      <c r="O415">
        <v>1.044</v>
      </c>
      <c r="P415" t="s">
        <v>415</v>
      </c>
      <c r="Q415" t="s">
        <v>634</v>
      </c>
      <c r="R415" s="1" t="s">
        <v>465</v>
      </c>
      <c r="S415" s="1" t="s">
        <v>406</v>
      </c>
      <c r="T415" s="1" t="s">
        <v>406</v>
      </c>
      <c r="U415" s="1" t="s">
        <v>838</v>
      </c>
      <c r="V415" s="1" t="s">
        <v>839</v>
      </c>
    </row>
    <row r="416" spans="1:22" x14ac:dyDescent="0.2">
      <c r="A416">
        <v>162</v>
      </c>
      <c r="B416" t="s">
        <v>341</v>
      </c>
      <c r="C416" t="s">
        <v>319</v>
      </c>
      <c r="D416" t="s">
        <v>1590</v>
      </c>
      <c r="E416" t="s">
        <v>1572</v>
      </c>
      <c r="F416">
        <v>83</v>
      </c>
      <c r="G416" t="s">
        <v>12</v>
      </c>
      <c r="H416" t="s">
        <v>415</v>
      </c>
      <c r="I416" t="s">
        <v>404</v>
      </c>
      <c r="J416" t="s">
        <v>580</v>
      </c>
      <c r="K416">
        <v>1.3963000000000001</v>
      </c>
      <c r="L416" s="1" t="s">
        <v>835</v>
      </c>
      <c r="M416" t="s">
        <v>836</v>
      </c>
      <c r="N416" s="1" t="s">
        <v>844</v>
      </c>
      <c r="O416">
        <v>1.3963000000000001</v>
      </c>
      <c r="P416" t="s">
        <v>415</v>
      </c>
      <c r="Q416" t="s">
        <v>634</v>
      </c>
      <c r="R416" s="1" t="s">
        <v>465</v>
      </c>
      <c r="S416" s="1" t="s">
        <v>406</v>
      </c>
      <c r="T416" s="1" t="s">
        <v>406</v>
      </c>
      <c r="U416" s="1" t="s">
        <v>838</v>
      </c>
      <c r="V416" s="1" t="s">
        <v>839</v>
      </c>
    </row>
    <row r="417" spans="1:22" x14ac:dyDescent="0.2">
      <c r="A417">
        <v>162</v>
      </c>
      <c r="B417" t="s">
        <v>341</v>
      </c>
      <c r="C417" t="s">
        <v>319</v>
      </c>
      <c r="D417" t="s">
        <v>1590</v>
      </c>
      <c r="E417" t="s">
        <v>1572</v>
      </c>
      <c r="F417">
        <v>83</v>
      </c>
      <c r="G417" t="s">
        <v>13</v>
      </c>
      <c r="H417" t="s">
        <v>403</v>
      </c>
      <c r="I417" t="s">
        <v>404</v>
      </c>
      <c r="J417" t="s">
        <v>580</v>
      </c>
      <c r="K417">
        <v>6.1000000000000014</v>
      </c>
      <c r="L417" s="1" t="s">
        <v>835</v>
      </c>
      <c r="M417" t="s">
        <v>836</v>
      </c>
      <c r="N417" s="1" t="s">
        <v>845</v>
      </c>
      <c r="O417">
        <v>6.1000000000000014</v>
      </c>
      <c r="P417" t="s">
        <v>403</v>
      </c>
      <c r="Q417" t="s">
        <v>634</v>
      </c>
      <c r="R417" s="1" t="s">
        <v>465</v>
      </c>
      <c r="S417" s="1" t="s">
        <v>406</v>
      </c>
      <c r="T417" s="1" t="s">
        <v>406</v>
      </c>
      <c r="U417" s="1" t="s">
        <v>838</v>
      </c>
      <c r="V417" s="1" t="s">
        <v>839</v>
      </c>
    </row>
    <row r="418" spans="1:22" x14ac:dyDescent="0.2">
      <c r="A418">
        <v>162</v>
      </c>
      <c r="B418" t="s">
        <v>341</v>
      </c>
      <c r="C418" t="s">
        <v>319</v>
      </c>
      <c r="D418" t="s">
        <v>1590</v>
      </c>
      <c r="E418" t="s">
        <v>1572</v>
      </c>
      <c r="F418">
        <v>83</v>
      </c>
      <c r="G418" t="s">
        <v>14</v>
      </c>
      <c r="H418" t="s">
        <v>403</v>
      </c>
      <c r="I418" t="s">
        <v>404</v>
      </c>
      <c r="J418" t="s">
        <v>580</v>
      </c>
      <c r="K418">
        <v>433.51</v>
      </c>
      <c r="L418" s="1" t="s">
        <v>835</v>
      </c>
      <c r="M418" t="s">
        <v>836</v>
      </c>
      <c r="N418" s="1" t="s">
        <v>846</v>
      </c>
      <c r="O418">
        <v>433.51</v>
      </c>
      <c r="P418" t="s">
        <v>403</v>
      </c>
      <c r="Q418" t="s">
        <v>634</v>
      </c>
      <c r="R418" s="1" t="s">
        <v>465</v>
      </c>
      <c r="S418" s="1" t="s">
        <v>406</v>
      </c>
      <c r="T418" s="1" t="s">
        <v>406</v>
      </c>
      <c r="U418" s="1" t="s">
        <v>838</v>
      </c>
      <c r="V418" s="1" t="s">
        <v>839</v>
      </c>
    </row>
    <row r="419" spans="1:22" x14ac:dyDescent="0.2">
      <c r="A419">
        <v>162</v>
      </c>
      <c r="B419" t="s">
        <v>341</v>
      </c>
      <c r="C419" t="s">
        <v>319</v>
      </c>
      <c r="D419" t="s">
        <v>1590</v>
      </c>
      <c r="E419" t="s">
        <v>1572</v>
      </c>
      <c r="F419">
        <v>83</v>
      </c>
      <c r="G419" t="s">
        <v>15</v>
      </c>
      <c r="H419" t="s">
        <v>423</v>
      </c>
      <c r="I419" t="s">
        <v>404</v>
      </c>
      <c r="J419" t="s">
        <v>580</v>
      </c>
      <c r="K419">
        <v>6.9799999999999987E-2</v>
      </c>
      <c r="L419" s="1" t="s">
        <v>835</v>
      </c>
      <c r="M419" t="s">
        <v>836</v>
      </c>
      <c r="N419" s="1" t="s">
        <v>847</v>
      </c>
      <c r="O419">
        <v>6.9799999999999987E-2</v>
      </c>
      <c r="P419" t="s">
        <v>423</v>
      </c>
      <c r="Q419" t="s">
        <v>634</v>
      </c>
      <c r="R419" s="1" t="s">
        <v>465</v>
      </c>
      <c r="S419" s="1" t="s">
        <v>406</v>
      </c>
      <c r="T419" s="1" t="s">
        <v>406</v>
      </c>
      <c r="U419" s="1" t="s">
        <v>838</v>
      </c>
      <c r="V419" s="1" t="s">
        <v>839</v>
      </c>
    </row>
    <row r="420" spans="1:22" x14ac:dyDescent="0.2">
      <c r="A420">
        <v>162</v>
      </c>
      <c r="B420" t="s">
        <v>341</v>
      </c>
      <c r="C420" t="s">
        <v>319</v>
      </c>
      <c r="D420" t="s">
        <v>1590</v>
      </c>
      <c r="E420" t="s">
        <v>1572</v>
      </c>
      <c r="F420">
        <v>83</v>
      </c>
      <c r="G420" t="s">
        <v>16</v>
      </c>
      <c r="H420" t="s">
        <v>423</v>
      </c>
      <c r="I420" t="s">
        <v>404</v>
      </c>
      <c r="J420" t="s">
        <v>580</v>
      </c>
      <c r="K420">
        <v>8.7600000000000025E-2</v>
      </c>
      <c r="L420" s="1" t="s">
        <v>835</v>
      </c>
      <c r="M420" t="s">
        <v>836</v>
      </c>
      <c r="N420" s="1" t="s">
        <v>848</v>
      </c>
      <c r="O420">
        <v>8.7600000000000025E-2</v>
      </c>
      <c r="P420" t="s">
        <v>423</v>
      </c>
      <c r="Q420" t="s">
        <v>634</v>
      </c>
      <c r="R420" s="1" t="s">
        <v>465</v>
      </c>
      <c r="S420" s="1" t="s">
        <v>406</v>
      </c>
      <c r="T420" s="1" t="s">
        <v>406</v>
      </c>
      <c r="U420" s="1" t="s">
        <v>838</v>
      </c>
      <c r="V420" s="1" t="s">
        <v>839</v>
      </c>
    </row>
    <row r="421" spans="1:22" x14ac:dyDescent="0.2">
      <c r="A421">
        <v>162</v>
      </c>
      <c r="B421" t="s">
        <v>341</v>
      </c>
      <c r="C421" t="s">
        <v>319</v>
      </c>
      <c r="D421" t="s">
        <v>1590</v>
      </c>
      <c r="E421" t="s">
        <v>1572</v>
      </c>
      <c r="F421">
        <v>83</v>
      </c>
      <c r="G421" t="s">
        <v>17</v>
      </c>
      <c r="H421" t="s">
        <v>423</v>
      </c>
      <c r="I421" t="s">
        <v>404</v>
      </c>
      <c r="J421" t="s">
        <v>580</v>
      </c>
      <c r="K421">
        <v>1.222</v>
      </c>
      <c r="L421" s="1" t="s">
        <v>835</v>
      </c>
      <c r="M421" t="s">
        <v>836</v>
      </c>
      <c r="N421" s="1" t="s">
        <v>849</v>
      </c>
      <c r="O421">
        <v>1.222</v>
      </c>
      <c r="P421" t="s">
        <v>423</v>
      </c>
      <c r="Q421" t="s">
        <v>634</v>
      </c>
      <c r="R421" s="1" t="s">
        <v>465</v>
      </c>
      <c r="S421" s="1" t="s">
        <v>406</v>
      </c>
      <c r="T421" s="1" t="s">
        <v>406</v>
      </c>
      <c r="U421" s="1" t="s">
        <v>838</v>
      </c>
      <c r="V421" s="1" t="s">
        <v>839</v>
      </c>
    </row>
    <row r="422" spans="1:22" x14ac:dyDescent="0.2">
      <c r="A422">
        <v>162</v>
      </c>
      <c r="B422" t="s">
        <v>341</v>
      </c>
      <c r="C422" t="s">
        <v>319</v>
      </c>
      <c r="D422" t="s">
        <v>1590</v>
      </c>
      <c r="E422" t="s">
        <v>1572</v>
      </c>
      <c r="F422">
        <v>83</v>
      </c>
      <c r="G422" t="s">
        <v>18</v>
      </c>
      <c r="H422" t="s">
        <v>423</v>
      </c>
      <c r="I422" t="s">
        <v>404</v>
      </c>
      <c r="J422" t="s">
        <v>580</v>
      </c>
      <c r="K422">
        <v>3.98</v>
      </c>
      <c r="L422" s="1" t="s">
        <v>835</v>
      </c>
      <c r="M422" t="s">
        <v>836</v>
      </c>
      <c r="N422" s="1" t="s">
        <v>850</v>
      </c>
      <c r="O422">
        <v>3.98</v>
      </c>
      <c r="P422" t="s">
        <v>423</v>
      </c>
      <c r="Q422" t="s">
        <v>634</v>
      </c>
      <c r="R422" s="1" t="s">
        <v>465</v>
      </c>
      <c r="S422" s="1" t="s">
        <v>406</v>
      </c>
      <c r="T422" s="1" t="s">
        <v>406</v>
      </c>
      <c r="U422" s="1" t="s">
        <v>838</v>
      </c>
      <c r="V422" s="1" t="s">
        <v>839</v>
      </c>
    </row>
    <row r="423" spans="1:22" x14ac:dyDescent="0.2">
      <c r="A423">
        <v>162</v>
      </c>
      <c r="B423" t="s">
        <v>341</v>
      </c>
      <c r="C423" t="s">
        <v>319</v>
      </c>
      <c r="D423" t="s">
        <v>1590</v>
      </c>
      <c r="E423" t="s">
        <v>1572</v>
      </c>
      <c r="F423">
        <v>83</v>
      </c>
      <c r="G423" t="s">
        <v>19</v>
      </c>
      <c r="H423" t="s">
        <v>423</v>
      </c>
      <c r="I423" t="s">
        <v>404</v>
      </c>
      <c r="J423" t="s">
        <v>580</v>
      </c>
      <c r="K423">
        <v>29.63</v>
      </c>
      <c r="L423" s="1" t="s">
        <v>835</v>
      </c>
      <c r="M423" t="s">
        <v>836</v>
      </c>
      <c r="N423" s="1" t="s">
        <v>851</v>
      </c>
      <c r="O423">
        <v>29.63</v>
      </c>
      <c r="P423" t="s">
        <v>423</v>
      </c>
      <c r="Q423" t="s">
        <v>634</v>
      </c>
      <c r="R423" s="1" t="s">
        <v>465</v>
      </c>
      <c r="S423" s="1" t="s">
        <v>406</v>
      </c>
      <c r="T423" s="1" t="s">
        <v>406</v>
      </c>
      <c r="U423" s="1" t="s">
        <v>838</v>
      </c>
      <c r="V423" s="1" t="s">
        <v>839</v>
      </c>
    </row>
    <row r="424" spans="1:22" x14ac:dyDescent="0.2">
      <c r="A424">
        <v>162</v>
      </c>
      <c r="B424" t="s">
        <v>341</v>
      </c>
      <c r="C424" t="s">
        <v>319</v>
      </c>
      <c r="D424" t="s">
        <v>1590</v>
      </c>
      <c r="E424" t="s">
        <v>1572</v>
      </c>
      <c r="F424">
        <v>83</v>
      </c>
      <c r="G424" t="s">
        <v>20</v>
      </c>
      <c r="H424" t="s">
        <v>423</v>
      </c>
      <c r="I424" t="s">
        <v>404</v>
      </c>
      <c r="J424" t="s">
        <v>580</v>
      </c>
      <c r="K424">
        <v>0.10613</v>
      </c>
      <c r="L424" s="1" t="s">
        <v>835</v>
      </c>
      <c r="M424" t="s">
        <v>836</v>
      </c>
      <c r="N424" s="1" t="s">
        <v>852</v>
      </c>
      <c r="O424">
        <v>0.10613</v>
      </c>
      <c r="P424" t="s">
        <v>423</v>
      </c>
      <c r="Q424" t="s">
        <v>634</v>
      </c>
      <c r="R424" s="1" t="s">
        <v>465</v>
      </c>
      <c r="S424" s="1" t="s">
        <v>406</v>
      </c>
      <c r="T424" s="1" t="s">
        <v>406</v>
      </c>
      <c r="U424" s="1" t="s">
        <v>838</v>
      </c>
      <c r="V424" s="1" t="s">
        <v>839</v>
      </c>
    </row>
    <row r="425" spans="1:22" x14ac:dyDescent="0.2">
      <c r="A425">
        <v>162</v>
      </c>
      <c r="B425" t="s">
        <v>341</v>
      </c>
      <c r="C425" t="s">
        <v>319</v>
      </c>
      <c r="D425" t="s">
        <v>1590</v>
      </c>
      <c r="E425" t="s">
        <v>1572</v>
      </c>
      <c r="F425">
        <v>83</v>
      </c>
      <c r="G425" t="s">
        <v>21</v>
      </c>
      <c r="H425" t="s">
        <v>423</v>
      </c>
      <c r="I425" t="s">
        <v>404</v>
      </c>
      <c r="J425" t="s">
        <v>580</v>
      </c>
      <c r="K425">
        <v>0.75600000000000023</v>
      </c>
      <c r="L425" s="1" t="s">
        <v>835</v>
      </c>
      <c r="M425" t="s">
        <v>836</v>
      </c>
      <c r="N425" s="1" t="s">
        <v>853</v>
      </c>
      <c r="O425">
        <v>0.75600000000000023</v>
      </c>
      <c r="P425" t="s">
        <v>423</v>
      </c>
      <c r="Q425" t="s">
        <v>634</v>
      </c>
      <c r="R425" s="1" t="s">
        <v>465</v>
      </c>
      <c r="S425" s="1" t="s">
        <v>406</v>
      </c>
      <c r="T425" s="1" t="s">
        <v>406</v>
      </c>
      <c r="U425" s="1" t="s">
        <v>838</v>
      </c>
      <c r="V425" s="1" t="s">
        <v>839</v>
      </c>
    </row>
    <row r="426" spans="1:22" x14ac:dyDescent="0.2">
      <c r="A426">
        <v>162</v>
      </c>
      <c r="B426" t="s">
        <v>341</v>
      </c>
      <c r="C426" t="s">
        <v>319</v>
      </c>
      <c r="D426" t="s">
        <v>1590</v>
      </c>
      <c r="E426" t="s">
        <v>1572</v>
      </c>
      <c r="F426">
        <v>83</v>
      </c>
      <c r="G426" t="s">
        <v>22</v>
      </c>
      <c r="H426" t="s">
        <v>423</v>
      </c>
      <c r="I426" t="s">
        <v>404</v>
      </c>
      <c r="J426" t="s">
        <v>580</v>
      </c>
      <c r="K426">
        <v>50.38</v>
      </c>
      <c r="L426" s="1" t="s">
        <v>835</v>
      </c>
      <c r="M426" t="s">
        <v>836</v>
      </c>
      <c r="N426" s="1" t="s">
        <v>854</v>
      </c>
      <c r="O426">
        <v>50.38</v>
      </c>
      <c r="P426" t="s">
        <v>423</v>
      </c>
      <c r="Q426" t="s">
        <v>634</v>
      </c>
      <c r="R426" s="1" t="s">
        <v>465</v>
      </c>
      <c r="S426" s="1" t="s">
        <v>406</v>
      </c>
      <c r="T426" s="1" t="s">
        <v>406</v>
      </c>
      <c r="U426" s="1" t="s">
        <v>838</v>
      </c>
      <c r="V426" s="1" t="s">
        <v>839</v>
      </c>
    </row>
    <row r="427" spans="1:22" x14ac:dyDescent="0.2">
      <c r="A427">
        <v>162</v>
      </c>
      <c r="B427" t="s">
        <v>341</v>
      </c>
      <c r="C427" t="s">
        <v>319</v>
      </c>
      <c r="D427" t="s">
        <v>1590</v>
      </c>
      <c r="E427" t="s">
        <v>1572</v>
      </c>
      <c r="F427">
        <v>83</v>
      </c>
      <c r="G427" t="s">
        <v>23</v>
      </c>
      <c r="H427" t="s">
        <v>423</v>
      </c>
      <c r="I427" t="s">
        <v>404</v>
      </c>
      <c r="J427" t="s">
        <v>580</v>
      </c>
      <c r="K427">
        <v>114.461</v>
      </c>
      <c r="L427" s="1" t="s">
        <v>835</v>
      </c>
      <c r="M427" t="s">
        <v>836</v>
      </c>
      <c r="N427" s="1" t="s">
        <v>855</v>
      </c>
      <c r="O427">
        <v>114.461</v>
      </c>
      <c r="P427" t="s">
        <v>423</v>
      </c>
      <c r="Q427" t="s">
        <v>634</v>
      </c>
      <c r="R427" s="1" t="s">
        <v>465</v>
      </c>
      <c r="S427" s="1" t="s">
        <v>406</v>
      </c>
      <c r="T427" s="1" t="s">
        <v>406</v>
      </c>
      <c r="U427" s="1" t="s">
        <v>838</v>
      </c>
      <c r="V427" s="1" t="s">
        <v>839</v>
      </c>
    </row>
    <row r="428" spans="1:22" x14ac:dyDescent="0.2">
      <c r="A428">
        <v>162</v>
      </c>
      <c r="B428" t="s">
        <v>341</v>
      </c>
      <c r="C428" t="s">
        <v>319</v>
      </c>
      <c r="D428" t="s">
        <v>1590</v>
      </c>
      <c r="E428" t="s">
        <v>1572</v>
      </c>
      <c r="F428">
        <v>83</v>
      </c>
      <c r="G428" t="s">
        <v>24</v>
      </c>
      <c r="H428" t="s">
        <v>423</v>
      </c>
      <c r="I428" t="s">
        <v>404</v>
      </c>
      <c r="J428" t="s">
        <v>580</v>
      </c>
      <c r="K428">
        <v>405.81299999999999</v>
      </c>
      <c r="L428" s="1" t="s">
        <v>835</v>
      </c>
      <c r="M428" t="s">
        <v>836</v>
      </c>
      <c r="N428" s="1" t="s">
        <v>856</v>
      </c>
      <c r="O428">
        <v>405.81299999999999</v>
      </c>
      <c r="P428" t="s">
        <v>423</v>
      </c>
      <c r="Q428" t="s">
        <v>634</v>
      </c>
      <c r="R428" s="1" t="s">
        <v>465</v>
      </c>
      <c r="S428" s="1" t="s">
        <v>406</v>
      </c>
      <c r="T428" s="1" t="s">
        <v>406</v>
      </c>
      <c r="U428" s="1" t="s">
        <v>838</v>
      </c>
      <c r="V428" s="1" t="s">
        <v>839</v>
      </c>
    </row>
    <row r="429" spans="1:22" x14ac:dyDescent="0.2">
      <c r="A429">
        <v>162</v>
      </c>
      <c r="B429" t="s">
        <v>341</v>
      </c>
      <c r="C429" t="s">
        <v>319</v>
      </c>
      <c r="D429" t="s">
        <v>1590</v>
      </c>
      <c r="E429" t="s">
        <v>1572</v>
      </c>
      <c r="F429">
        <v>83</v>
      </c>
      <c r="G429" t="s">
        <v>25</v>
      </c>
      <c r="H429" t="s">
        <v>423</v>
      </c>
      <c r="I429" t="s">
        <v>404</v>
      </c>
      <c r="J429" t="s">
        <v>580</v>
      </c>
      <c r="K429">
        <v>0.51900000000000002</v>
      </c>
      <c r="L429" s="1" t="s">
        <v>835</v>
      </c>
      <c r="M429" t="s">
        <v>836</v>
      </c>
      <c r="N429" s="1" t="s">
        <v>857</v>
      </c>
      <c r="O429">
        <v>0.51900000000000002</v>
      </c>
      <c r="P429" t="s">
        <v>423</v>
      </c>
      <c r="Q429" t="s">
        <v>634</v>
      </c>
      <c r="R429" s="1" t="s">
        <v>465</v>
      </c>
      <c r="S429" s="1" t="s">
        <v>406</v>
      </c>
      <c r="T429" s="1" t="s">
        <v>406</v>
      </c>
      <c r="U429" s="1" t="s">
        <v>838</v>
      </c>
      <c r="V429" s="1" t="s">
        <v>839</v>
      </c>
    </row>
    <row r="430" spans="1:22" x14ac:dyDescent="0.2">
      <c r="A430">
        <v>162</v>
      </c>
      <c r="B430" t="s">
        <v>341</v>
      </c>
      <c r="C430" t="s">
        <v>319</v>
      </c>
      <c r="D430" t="s">
        <v>1590</v>
      </c>
      <c r="E430" t="s">
        <v>1572</v>
      </c>
      <c r="F430">
        <v>83</v>
      </c>
      <c r="G430" t="s">
        <v>26</v>
      </c>
      <c r="H430" t="s">
        <v>496</v>
      </c>
      <c r="I430" t="s">
        <v>404</v>
      </c>
      <c r="J430" t="s">
        <v>580</v>
      </c>
      <c r="K430">
        <v>95.9</v>
      </c>
      <c r="L430" s="1" t="s">
        <v>835</v>
      </c>
      <c r="M430" t="s">
        <v>836</v>
      </c>
      <c r="N430" s="1" t="s">
        <v>858</v>
      </c>
      <c r="O430">
        <v>95.9</v>
      </c>
      <c r="P430" t="s">
        <v>496</v>
      </c>
      <c r="Q430" t="s">
        <v>634</v>
      </c>
      <c r="R430" s="1" t="s">
        <v>465</v>
      </c>
      <c r="S430" s="1" t="s">
        <v>406</v>
      </c>
      <c r="T430" s="1" t="s">
        <v>406</v>
      </c>
      <c r="U430" s="1" t="s">
        <v>838</v>
      </c>
      <c r="V430" s="1" t="s">
        <v>859</v>
      </c>
    </row>
    <row r="431" spans="1:22" x14ac:dyDescent="0.2">
      <c r="A431">
        <v>165</v>
      </c>
      <c r="B431" t="s">
        <v>347</v>
      </c>
      <c r="C431" t="s">
        <v>319</v>
      </c>
      <c r="D431" t="s">
        <v>477</v>
      </c>
      <c r="E431" t="s">
        <v>860</v>
      </c>
      <c r="F431">
        <v>126</v>
      </c>
      <c r="G431" t="s">
        <v>6</v>
      </c>
      <c r="H431" t="s">
        <v>493</v>
      </c>
      <c r="I431" t="s">
        <v>404</v>
      </c>
      <c r="J431" t="s">
        <v>580</v>
      </c>
      <c r="K431">
        <v>201.42</v>
      </c>
      <c r="L431" s="1" t="s">
        <v>704</v>
      </c>
      <c r="M431" t="s">
        <v>861</v>
      </c>
      <c r="N431" s="1" t="s">
        <v>862</v>
      </c>
      <c r="O431">
        <v>201.42</v>
      </c>
      <c r="P431" t="s">
        <v>493</v>
      </c>
      <c r="Q431" t="s">
        <v>634</v>
      </c>
      <c r="R431" s="1" t="s">
        <v>465</v>
      </c>
      <c r="S431" s="1" t="s">
        <v>406</v>
      </c>
      <c r="T431" s="1" t="s">
        <v>406</v>
      </c>
      <c r="U431" s="1" t="s">
        <v>838</v>
      </c>
      <c r="V431" s="1" t="s">
        <v>863</v>
      </c>
    </row>
    <row r="432" spans="1:22" x14ac:dyDescent="0.2">
      <c r="A432">
        <v>165</v>
      </c>
      <c r="B432" t="s">
        <v>347</v>
      </c>
      <c r="C432" t="s">
        <v>319</v>
      </c>
      <c r="D432" t="s">
        <v>477</v>
      </c>
      <c r="E432" t="s">
        <v>860</v>
      </c>
      <c r="F432">
        <v>126</v>
      </c>
      <c r="G432" t="s">
        <v>7</v>
      </c>
      <c r="H432" t="s">
        <v>415</v>
      </c>
      <c r="I432" t="s">
        <v>404</v>
      </c>
      <c r="J432" t="s">
        <v>580</v>
      </c>
      <c r="K432">
        <v>12.058999999999999</v>
      </c>
      <c r="L432" s="1" t="s">
        <v>704</v>
      </c>
      <c r="M432" t="s">
        <v>861</v>
      </c>
      <c r="N432" s="1" t="s">
        <v>864</v>
      </c>
      <c r="O432">
        <v>12.058999999999999</v>
      </c>
      <c r="P432" t="s">
        <v>415</v>
      </c>
      <c r="Q432" t="s">
        <v>634</v>
      </c>
      <c r="R432" s="1" t="s">
        <v>465</v>
      </c>
      <c r="S432" s="1" t="s">
        <v>406</v>
      </c>
      <c r="T432" s="1" t="s">
        <v>406</v>
      </c>
      <c r="U432" s="1" t="s">
        <v>838</v>
      </c>
      <c r="V432" s="1" t="s">
        <v>863</v>
      </c>
    </row>
    <row r="433" spans="1:22" x14ac:dyDescent="0.2">
      <c r="A433">
        <v>165</v>
      </c>
      <c r="B433" t="s">
        <v>347</v>
      </c>
      <c r="C433" t="s">
        <v>319</v>
      </c>
      <c r="D433" t="s">
        <v>477</v>
      </c>
      <c r="E433" t="s">
        <v>860</v>
      </c>
      <c r="F433">
        <v>126</v>
      </c>
      <c r="G433" t="s">
        <v>8</v>
      </c>
      <c r="H433" t="s">
        <v>415</v>
      </c>
      <c r="I433" t="s">
        <v>404</v>
      </c>
      <c r="J433" t="s">
        <v>580</v>
      </c>
      <c r="K433">
        <v>14.574999999999999</v>
      </c>
      <c r="L433" s="1" t="s">
        <v>704</v>
      </c>
      <c r="M433" t="s">
        <v>861</v>
      </c>
      <c r="N433" s="1" t="s">
        <v>865</v>
      </c>
      <c r="O433">
        <v>14.574999999999999</v>
      </c>
      <c r="P433" t="s">
        <v>415</v>
      </c>
      <c r="Q433" t="s">
        <v>634</v>
      </c>
      <c r="R433" s="1" t="s">
        <v>465</v>
      </c>
      <c r="S433" s="1" t="s">
        <v>406</v>
      </c>
      <c r="T433" s="1" t="s">
        <v>406</v>
      </c>
      <c r="U433" s="1" t="s">
        <v>838</v>
      </c>
      <c r="V433" s="1" t="s">
        <v>863</v>
      </c>
    </row>
    <row r="434" spans="1:22" ht="16" customHeight="1" x14ac:dyDescent="0.2">
      <c r="A434">
        <v>165</v>
      </c>
      <c r="B434" t="s">
        <v>347</v>
      </c>
      <c r="C434" t="s">
        <v>319</v>
      </c>
      <c r="D434" t="s">
        <v>477</v>
      </c>
      <c r="E434" t="s">
        <v>860</v>
      </c>
      <c r="F434">
        <v>126</v>
      </c>
      <c r="G434" t="s">
        <v>9</v>
      </c>
      <c r="H434" t="s">
        <v>415</v>
      </c>
      <c r="I434" t="s">
        <v>404</v>
      </c>
      <c r="J434" t="s">
        <v>405</v>
      </c>
      <c r="K434">
        <v>0</v>
      </c>
      <c r="L434" s="11" t="s">
        <v>406</v>
      </c>
      <c r="M434" t="s">
        <v>416</v>
      </c>
      <c r="N434" s="11" t="s">
        <v>417</v>
      </c>
      <c r="O434" t="s">
        <v>418</v>
      </c>
      <c r="P434" t="s">
        <v>415</v>
      </c>
      <c r="Q434">
        <v>1</v>
      </c>
      <c r="R434" s="11" t="s">
        <v>406</v>
      </c>
      <c r="S434" s="11" t="s">
        <v>406</v>
      </c>
      <c r="T434" s="11" t="s">
        <v>406</v>
      </c>
      <c r="U434" s="11" t="s">
        <v>419</v>
      </c>
      <c r="V434" s="11" t="s">
        <v>420</v>
      </c>
    </row>
    <row r="435" spans="1:22" x14ac:dyDescent="0.2">
      <c r="A435">
        <v>165</v>
      </c>
      <c r="B435" t="s">
        <v>347</v>
      </c>
      <c r="C435" t="s">
        <v>319</v>
      </c>
      <c r="D435" t="s">
        <v>477</v>
      </c>
      <c r="E435" t="s">
        <v>860</v>
      </c>
      <c r="F435">
        <v>126</v>
      </c>
      <c r="G435" t="s">
        <v>10</v>
      </c>
      <c r="H435" t="s">
        <v>415</v>
      </c>
      <c r="I435" t="s">
        <v>404</v>
      </c>
      <c r="J435" t="s">
        <v>580</v>
      </c>
      <c r="K435">
        <v>6.78</v>
      </c>
      <c r="L435" s="1" t="s">
        <v>704</v>
      </c>
      <c r="M435" t="s">
        <v>861</v>
      </c>
      <c r="N435" s="1" t="s">
        <v>866</v>
      </c>
      <c r="O435">
        <v>6.78</v>
      </c>
      <c r="P435" t="s">
        <v>415</v>
      </c>
      <c r="Q435" t="s">
        <v>634</v>
      </c>
      <c r="R435" s="1" t="s">
        <v>465</v>
      </c>
      <c r="S435" s="1" t="s">
        <v>406</v>
      </c>
      <c r="T435" s="1" t="s">
        <v>406</v>
      </c>
      <c r="U435" s="1" t="s">
        <v>838</v>
      </c>
      <c r="V435" s="1" t="s">
        <v>863</v>
      </c>
    </row>
    <row r="436" spans="1:22" x14ac:dyDescent="0.2">
      <c r="A436">
        <v>165</v>
      </c>
      <c r="B436" t="s">
        <v>347</v>
      </c>
      <c r="C436" t="s">
        <v>319</v>
      </c>
      <c r="D436" t="s">
        <v>477</v>
      </c>
      <c r="E436" t="s">
        <v>860</v>
      </c>
      <c r="F436">
        <v>126</v>
      </c>
      <c r="G436" t="s">
        <v>11</v>
      </c>
      <c r="H436" t="s">
        <v>415</v>
      </c>
      <c r="I436" t="s">
        <v>404</v>
      </c>
      <c r="J436" t="s">
        <v>580</v>
      </c>
      <c r="K436">
        <v>0.84900000000000009</v>
      </c>
      <c r="L436" s="1" t="s">
        <v>704</v>
      </c>
      <c r="M436" t="s">
        <v>861</v>
      </c>
      <c r="N436" s="1" t="s">
        <v>867</v>
      </c>
      <c r="O436">
        <v>0.84900000000000009</v>
      </c>
      <c r="P436" t="s">
        <v>415</v>
      </c>
      <c r="Q436" t="s">
        <v>634</v>
      </c>
      <c r="R436" s="1" t="s">
        <v>465</v>
      </c>
      <c r="S436" s="1" t="s">
        <v>406</v>
      </c>
      <c r="T436" s="1" t="s">
        <v>406</v>
      </c>
      <c r="U436" s="1" t="s">
        <v>838</v>
      </c>
      <c r="V436" s="1" t="s">
        <v>863</v>
      </c>
    </row>
    <row r="437" spans="1:22" x14ac:dyDescent="0.2">
      <c r="A437">
        <v>165</v>
      </c>
      <c r="B437" t="s">
        <v>347</v>
      </c>
      <c r="C437" t="s">
        <v>319</v>
      </c>
      <c r="D437" t="s">
        <v>477</v>
      </c>
      <c r="E437" t="s">
        <v>860</v>
      </c>
      <c r="F437">
        <v>126</v>
      </c>
      <c r="G437" t="s">
        <v>12</v>
      </c>
      <c r="H437" t="s">
        <v>415</v>
      </c>
      <c r="I437" t="s">
        <v>404</v>
      </c>
      <c r="J437" t="s">
        <v>580</v>
      </c>
      <c r="K437">
        <v>5.5729999999999986</v>
      </c>
      <c r="L437" s="1" t="s">
        <v>704</v>
      </c>
      <c r="M437" t="s">
        <v>861</v>
      </c>
      <c r="N437" s="1" t="s">
        <v>868</v>
      </c>
      <c r="O437">
        <v>5.5729999999999986</v>
      </c>
      <c r="P437" t="s">
        <v>415</v>
      </c>
      <c r="Q437" t="s">
        <v>634</v>
      </c>
      <c r="R437" s="1" t="s">
        <v>465</v>
      </c>
      <c r="S437" s="1" t="s">
        <v>406</v>
      </c>
      <c r="T437" s="1" t="s">
        <v>406</v>
      </c>
      <c r="U437" s="1" t="s">
        <v>838</v>
      </c>
      <c r="V437" s="1" t="s">
        <v>863</v>
      </c>
    </row>
    <row r="438" spans="1:22" x14ac:dyDescent="0.2">
      <c r="A438">
        <v>165</v>
      </c>
      <c r="B438" t="s">
        <v>347</v>
      </c>
      <c r="C438" t="s">
        <v>319</v>
      </c>
      <c r="D438" t="s">
        <v>477</v>
      </c>
      <c r="E438" t="s">
        <v>860</v>
      </c>
      <c r="F438">
        <v>126</v>
      </c>
      <c r="G438" t="s">
        <v>13</v>
      </c>
      <c r="H438" t="s">
        <v>403</v>
      </c>
      <c r="I438" t="s">
        <v>404</v>
      </c>
      <c r="J438" t="s">
        <v>580</v>
      </c>
      <c r="K438">
        <v>35.020000000000003</v>
      </c>
      <c r="L438" s="1" t="s">
        <v>704</v>
      </c>
      <c r="M438" t="s">
        <v>861</v>
      </c>
      <c r="N438" s="1" t="s">
        <v>869</v>
      </c>
      <c r="O438">
        <v>35.020000000000003</v>
      </c>
      <c r="P438" t="s">
        <v>403</v>
      </c>
      <c r="Q438" t="s">
        <v>634</v>
      </c>
      <c r="R438" s="1" t="s">
        <v>465</v>
      </c>
      <c r="S438" s="1" t="s">
        <v>406</v>
      </c>
      <c r="T438" s="1" t="s">
        <v>406</v>
      </c>
      <c r="U438" s="1" t="s">
        <v>838</v>
      </c>
      <c r="V438" s="1" t="s">
        <v>863</v>
      </c>
    </row>
    <row r="439" spans="1:22" x14ac:dyDescent="0.2">
      <c r="A439">
        <v>165</v>
      </c>
      <c r="B439" t="s">
        <v>347</v>
      </c>
      <c r="C439" t="s">
        <v>319</v>
      </c>
      <c r="D439" t="s">
        <v>477</v>
      </c>
      <c r="E439" t="s">
        <v>860</v>
      </c>
      <c r="F439">
        <v>126</v>
      </c>
      <c r="G439" t="s">
        <v>14</v>
      </c>
      <c r="H439" t="s">
        <v>403</v>
      </c>
      <c r="I439" t="s">
        <v>404</v>
      </c>
      <c r="J439" t="s">
        <v>580</v>
      </c>
      <c r="K439">
        <v>1177.79</v>
      </c>
      <c r="L439" s="1" t="s">
        <v>704</v>
      </c>
      <c r="M439" t="s">
        <v>861</v>
      </c>
      <c r="N439" s="1" t="s">
        <v>870</v>
      </c>
      <c r="O439">
        <v>1177.79</v>
      </c>
      <c r="P439" t="s">
        <v>403</v>
      </c>
      <c r="Q439" t="s">
        <v>634</v>
      </c>
      <c r="R439" s="1" t="s">
        <v>465</v>
      </c>
      <c r="S439" s="1" t="s">
        <v>406</v>
      </c>
      <c r="T439" s="1" t="s">
        <v>406</v>
      </c>
      <c r="U439" s="1" t="s">
        <v>838</v>
      </c>
      <c r="V439" s="1" t="s">
        <v>863</v>
      </c>
    </row>
    <row r="440" spans="1:22" x14ac:dyDescent="0.2">
      <c r="A440">
        <v>165</v>
      </c>
      <c r="B440" t="s">
        <v>347</v>
      </c>
      <c r="C440" t="s">
        <v>319</v>
      </c>
      <c r="D440" t="s">
        <v>477</v>
      </c>
      <c r="E440" t="s">
        <v>860</v>
      </c>
      <c r="F440">
        <v>126</v>
      </c>
      <c r="G440" t="s">
        <v>15</v>
      </c>
      <c r="H440" t="s">
        <v>423</v>
      </c>
      <c r="I440" t="s">
        <v>404</v>
      </c>
      <c r="J440" t="s">
        <v>580</v>
      </c>
      <c r="K440">
        <v>0.1043</v>
      </c>
      <c r="L440" s="1" t="s">
        <v>704</v>
      </c>
      <c r="M440" t="s">
        <v>861</v>
      </c>
      <c r="N440" s="1" t="s">
        <v>871</v>
      </c>
      <c r="O440">
        <v>0.1043</v>
      </c>
      <c r="P440" t="s">
        <v>423</v>
      </c>
      <c r="Q440" t="s">
        <v>634</v>
      </c>
      <c r="R440" s="1" t="s">
        <v>465</v>
      </c>
      <c r="S440" s="1" t="s">
        <v>406</v>
      </c>
      <c r="T440" s="1" t="s">
        <v>406</v>
      </c>
      <c r="U440" s="1" t="s">
        <v>838</v>
      </c>
      <c r="V440" s="1" t="s">
        <v>863</v>
      </c>
    </row>
    <row r="441" spans="1:22" x14ac:dyDescent="0.2">
      <c r="A441">
        <v>165</v>
      </c>
      <c r="B441" t="s">
        <v>347</v>
      </c>
      <c r="C441" t="s">
        <v>319</v>
      </c>
      <c r="D441" t="s">
        <v>477</v>
      </c>
      <c r="E441" t="s">
        <v>860</v>
      </c>
      <c r="F441">
        <v>126</v>
      </c>
      <c r="G441" t="s">
        <v>16</v>
      </c>
      <c r="H441" t="s">
        <v>423</v>
      </c>
      <c r="I441" t="s">
        <v>404</v>
      </c>
      <c r="J441" t="s">
        <v>580</v>
      </c>
      <c r="K441">
        <v>0.17849999999999999</v>
      </c>
      <c r="L441" s="1" t="s">
        <v>704</v>
      </c>
      <c r="M441" t="s">
        <v>861</v>
      </c>
      <c r="N441" s="1" t="s">
        <v>872</v>
      </c>
      <c r="O441">
        <v>0.17849999999999999</v>
      </c>
      <c r="P441" t="s">
        <v>423</v>
      </c>
      <c r="Q441" t="s">
        <v>634</v>
      </c>
      <c r="R441" s="1" t="s">
        <v>465</v>
      </c>
      <c r="S441" s="1" t="s">
        <v>406</v>
      </c>
      <c r="T441" s="1" t="s">
        <v>406</v>
      </c>
      <c r="U441" s="1" t="s">
        <v>838</v>
      </c>
      <c r="V441" s="1" t="s">
        <v>863</v>
      </c>
    </row>
    <row r="442" spans="1:22" x14ac:dyDescent="0.2">
      <c r="A442">
        <v>165</v>
      </c>
      <c r="B442" t="s">
        <v>347</v>
      </c>
      <c r="C442" t="s">
        <v>319</v>
      </c>
      <c r="D442" t="s">
        <v>477</v>
      </c>
      <c r="E442" t="s">
        <v>860</v>
      </c>
      <c r="F442">
        <v>126</v>
      </c>
      <c r="G442" t="s">
        <v>17</v>
      </c>
      <c r="H442" t="s">
        <v>423</v>
      </c>
      <c r="I442" t="s">
        <v>404</v>
      </c>
      <c r="J442" t="s">
        <v>580</v>
      </c>
      <c r="K442">
        <v>4.1620000000000008</v>
      </c>
      <c r="L442" s="1" t="s">
        <v>704</v>
      </c>
      <c r="M442" t="s">
        <v>861</v>
      </c>
      <c r="N442" s="1" t="s">
        <v>873</v>
      </c>
      <c r="O442">
        <v>4.1620000000000008</v>
      </c>
      <c r="P442" t="s">
        <v>423</v>
      </c>
      <c r="Q442" t="s">
        <v>634</v>
      </c>
      <c r="R442" s="1" t="s">
        <v>465</v>
      </c>
      <c r="S442" s="1" t="s">
        <v>406</v>
      </c>
      <c r="T442" s="1" t="s">
        <v>406</v>
      </c>
      <c r="U442" s="1" t="s">
        <v>838</v>
      </c>
      <c r="V442" s="1" t="s">
        <v>863</v>
      </c>
    </row>
    <row r="443" spans="1:22" x14ac:dyDescent="0.2">
      <c r="A443">
        <v>165</v>
      </c>
      <c r="B443" t="s">
        <v>347</v>
      </c>
      <c r="C443" t="s">
        <v>319</v>
      </c>
      <c r="D443" t="s">
        <v>477</v>
      </c>
      <c r="E443" t="s">
        <v>860</v>
      </c>
      <c r="F443">
        <v>126</v>
      </c>
      <c r="G443" t="s">
        <v>18</v>
      </c>
      <c r="H443" t="s">
        <v>423</v>
      </c>
      <c r="I443" t="s">
        <v>404</v>
      </c>
      <c r="J443" t="s">
        <v>580</v>
      </c>
      <c r="K443">
        <v>4.4000000000000004</v>
      </c>
      <c r="L443" s="1" t="s">
        <v>704</v>
      </c>
      <c r="M443" t="s">
        <v>861</v>
      </c>
      <c r="N443" s="1" t="s">
        <v>874</v>
      </c>
      <c r="O443">
        <v>4.4000000000000004</v>
      </c>
      <c r="P443" t="s">
        <v>423</v>
      </c>
      <c r="Q443" t="s">
        <v>634</v>
      </c>
      <c r="R443" s="1" t="s">
        <v>465</v>
      </c>
      <c r="S443" s="1" t="s">
        <v>406</v>
      </c>
      <c r="T443" s="1" t="s">
        <v>406</v>
      </c>
      <c r="U443" s="1" t="s">
        <v>838</v>
      </c>
      <c r="V443" s="1" t="s">
        <v>863</v>
      </c>
    </row>
    <row r="444" spans="1:22" x14ac:dyDescent="0.2">
      <c r="A444">
        <v>165</v>
      </c>
      <c r="B444" t="s">
        <v>347</v>
      </c>
      <c r="C444" t="s">
        <v>319</v>
      </c>
      <c r="D444" t="s">
        <v>477</v>
      </c>
      <c r="E444" t="s">
        <v>860</v>
      </c>
      <c r="F444">
        <v>126</v>
      </c>
      <c r="G444" t="s">
        <v>19</v>
      </c>
      <c r="H444" t="s">
        <v>423</v>
      </c>
      <c r="I444" t="s">
        <v>404</v>
      </c>
      <c r="J444" t="s">
        <v>580</v>
      </c>
      <c r="K444">
        <v>37.57</v>
      </c>
      <c r="L444" s="1" t="s">
        <v>704</v>
      </c>
      <c r="M444" t="s">
        <v>861</v>
      </c>
      <c r="N444" s="1" t="s">
        <v>875</v>
      </c>
      <c r="O444">
        <v>37.57</v>
      </c>
      <c r="P444" t="s">
        <v>423</v>
      </c>
      <c r="Q444" t="s">
        <v>634</v>
      </c>
      <c r="R444" s="1" t="s">
        <v>465</v>
      </c>
      <c r="S444" s="1" t="s">
        <v>406</v>
      </c>
      <c r="T444" s="1" t="s">
        <v>406</v>
      </c>
      <c r="U444" s="1" t="s">
        <v>838</v>
      </c>
      <c r="V444" s="1" t="s">
        <v>863</v>
      </c>
    </row>
    <row r="445" spans="1:22" x14ac:dyDescent="0.2">
      <c r="A445">
        <v>165</v>
      </c>
      <c r="B445" t="s">
        <v>347</v>
      </c>
      <c r="C445" t="s">
        <v>319</v>
      </c>
      <c r="D445" t="s">
        <v>477</v>
      </c>
      <c r="E445" t="s">
        <v>860</v>
      </c>
      <c r="F445">
        <v>126</v>
      </c>
      <c r="G445" t="s">
        <v>20</v>
      </c>
      <c r="H445" t="s">
        <v>423</v>
      </c>
      <c r="I445" t="s">
        <v>404</v>
      </c>
      <c r="J445" t="s">
        <v>580</v>
      </c>
      <c r="K445">
        <v>0.68400000000000005</v>
      </c>
      <c r="L445" s="1" t="s">
        <v>704</v>
      </c>
      <c r="M445" t="s">
        <v>861</v>
      </c>
      <c r="N445" s="1" t="s">
        <v>876</v>
      </c>
      <c r="O445">
        <v>0.68400000000000005</v>
      </c>
      <c r="P445" t="s">
        <v>423</v>
      </c>
      <c r="Q445" t="s">
        <v>634</v>
      </c>
      <c r="R445" s="1" t="s">
        <v>465</v>
      </c>
      <c r="S445" s="1" t="s">
        <v>406</v>
      </c>
      <c r="T445" s="1" t="s">
        <v>406</v>
      </c>
      <c r="U445" s="1" t="s">
        <v>838</v>
      </c>
      <c r="V445" s="1" t="s">
        <v>863</v>
      </c>
    </row>
    <row r="446" spans="1:22" x14ac:dyDescent="0.2">
      <c r="A446">
        <v>165</v>
      </c>
      <c r="B446" t="s">
        <v>347</v>
      </c>
      <c r="C446" t="s">
        <v>319</v>
      </c>
      <c r="D446" t="s">
        <v>477</v>
      </c>
      <c r="E446" t="s">
        <v>860</v>
      </c>
      <c r="F446">
        <v>126</v>
      </c>
      <c r="G446" t="s">
        <v>21</v>
      </c>
      <c r="H446" t="s">
        <v>423</v>
      </c>
      <c r="I446" t="s">
        <v>404</v>
      </c>
      <c r="J446" t="s">
        <v>580</v>
      </c>
      <c r="K446">
        <v>2.008</v>
      </c>
      <c r="L446" s="1" t="s">
        <v>704</v>
      </c>
      <c r="M446" t="s">
        <v>861</v>
      </c>
      <c r="N446" s="1" t="s">
        <v>877</v>
      </c>
      <c r="O446">
        <v>2.008</v>
      </c>
      <c r="P446" t="s">
        <v>423</v>
      </c>
      <c r="Q446" t="s">
        <v>634</v>
      </c>
      <c r="R446" s="1" t="s">
        <v>465</v>
      </c>
      <c r="S446" s="1" t="s">
        <v>406</v>
      </c>
      <c r="T446" s="1" t="s">
        <v>406</v>
      </c>
      <c r="U446" s="1" t="s">
        <v>838</v>
      </c>
      <c r="V446" s="1" t="s">
        <v>863</v>
      </c>
    </row>
    <row r="447" spans="1:22" x14ac:dyDescent="0.2">
      <c r="A447">
        <v>165</v>
      </c>
      <c r="B447" t="s">
        <v>347</v>
      </c>
      <c r="C447" t="s">
        <v>319</v>
      </c>
      <c r="D447" t="s">
        <v>477</v>
      </c>
      <c r="E447" t="s">
        <v>860</v>
      </c>
      <c r="F447">
        <v>126</v>
      </c>
      <c r="G447" t="s">
        <v>22</v>
      </c>
      <c r="H447" t="s">
        <v>423</v>
      </c>
      <c r="I447" t="s">
        <v>404</v>
      </c>
      <c r="J447" t="s">
        <v>580</v>
      </c>
      <c r="K447">
        <v>125.09</v>
      </c>
      <c r="L447" s="1" t="s">
        <v>704</v>
      </c>
      <c r="M447" t="s">
        <v>861</v>
      </c>
      <c r="N447" s="1" t="s">
        <v>878</v>
      </c>
      <c r="O447">
        <v>125.09</v>
      </c>
      <c r="P447" t="s">
        <v>423</v>
      </c>
      <c r="Q447" t="s">
        <v>634</v>
      </c>
      <c r="R447" s="1" t="s">
        <v>465</v>
      </c>
      <c r="S447" s="1" t="s">
        <v>406</v>
      </c>
      <c r="T447" s="1" t="s">
        <v>406</v>
      </c>
      <c r="U447" s="1" t="s">
        <v>838</v>
      </c>
      <c r="V447" s="1" t="s">
        <v>863</v>
      </c>
    </row>
    <row r="448" spans="1:22" x14ac:dyDescent="0.2">
      <c r="A448">
        <v>165</v>
      </c>
      <c r="B448" t="s">
        <v>347</v>
      </c>
      <c r="C448" t="s">
        <v>319</v>
      </c>
      <c r="D448" t="s">
        <v>477</v>
      </c>
      <c r="E448" t="s">
        <v>860</v>
      </c>
      <c r="F448">
        <v>126</v>
      </c>
      <c r="G448" t="s">
        <v>23</v>
      </c>
      <c r="H448" t="s">
        <v>423</v>
      </c>
      <c r="I448" t="s">
        <v>404</v>
      </c>
      <c r="J448" t="s">
        <v>580</v>
      </c>
      <c r="K448">
        <v>275.97800000000001</v>
      </c>
      <c r="L448" s="1" t="s">
        <v>704</v>
      </c>
      <c r="M448" t="s">
        <v>861</v>
      </c>
      <c r="N448" s="1" t="s">
        <v>879</v>
      </c>
      <c r="O448">
        <v>275.97800000000001</v>
      </c>
      <c r="P448" t="s">
        <v>423</v>
      </c>
      <c r="Q448" t="s">
        <v>634</v>
      </c>
      <c r="R448" s="1" t="s">
        <v>465</v>
      </c>
      <c r="S448" s="1" t="s">
        <v>406</v>
      </c>
      <c r="T448" s="1" t="s">
        <v>406</v>
      </c>
      <c r="U448" s="1" t="s">
        <v>838</v>
      </c>
      <c r="V448" s="1" t="s">
        <v>863</v>
      </c>
    </row>
    <row r="449" spans="1:22" x14ac:dyDescent="0.2">
      <c r="A449">
        <v>165</v>
      </c>
      <c r="B449" t="s">
        <v>347</v>
      </c>
      <c r="C449" t="s">
        <v>319</v>
      </c>
      <c r="D449" t="s">
        <v>477</v>
      </c>
      <c r="E449" t="s">
        <v>860</v>
      </c>
      <c r="F449">
        <v>126</v>
      </c>
      <c r="G449" t="s">
        <v>24</v>
      </c>
      <c r="H449" t="s">
        <v>423</v>
      </c>
      <c r="I449" t="s">
        <v>404</v>
      </c>
      <c r="J449" t="s">
        <v>580</v>
      </c>
      <c r="K449">
        <v>924.78200000000004</v>
      </c>
      <c r="L449" s="1" t="s">
        <v>704</v>
      </c>
      <c r="M449" t="s">
        <v>861</v>
      </c>
      <c r="N449" s="1" t="s">
        <v>880</v>
      </c>
      <c r="O449">
        <v>924.78200000000004</v>
      </c>
      <c r="P449" t="s">
        <v>423</v>
      </c>
      <c r="Q449" t="s">
        <v>634</v>
      </c>
      <c r="R449" s="1" t="s">
        <v>465</v>
      </c>
      <c r="S449" s="1" t="s">
        <v>406</v>
      </c>
      <c r="T449" s="1" t="s">
        <v>406</v>
      </c>
      <c r="U449" s="1" t="s">
        <v>838</v>
      </c>
      <c r="V449" s="1" t="s">
        <v>863</v>
      </c>
    </row>
    <row r="450" spans="1:22" x14ac:dyDescent="0.2">
      <c r="A450">
        <v>165</v>
      </c>
      <c r="B450" t="s">
        <v>347</v>
      </c>
      <c r="C450" t="s">
        <v>319</v>
      </c>
      <c r="D450" t="s">
        <v>477</v>
      </c>
      <c r="E450" t="s">
        <v>860</v>
      </c>
      <c r="F450">
        <v>126</v>
      </c>
      <c r="G450" t="s">
        <v>25</v>
      </c>
      <c r="H450" t="s">
        <v>423</v>
      </c>
      <c r="I450" t="s">
        <v>404</v>
      </c>
      <c r="J450" t="s">
        <v>580</v>
      </c>
      <c r="K450">
        <v>2.234</v>
      </c>
      <c r="L450" s="1" t="s">
        <v>704</v>
      </c>
      <c r="M450" t="s">
        <v>861</v>
      </c>
      <c r="N450" s="1" t="s">
        <v>881</v>
      </c>
      <c r="O450">
        <v>2.234</v>
      </c>
      <c r="P450" t="s">
        <v>423</v>
      </c>
      <c r="Q450" t="s">
        <v>634</v>
      </c>
      <c r="R450" s="1" t="s">
        <v>465</v>
      </c>
      <c r="S450" s="1" t="s">
        <v>406</v>
      </c>
      <c r="T450" s="1" t="s">
        <v>406</v>
      </c>
      <c r="U450" s="1" t="s">
        <v>838</v>
      </c>
      <c r="V450" s="1" t="s">
        <v>863</v>
      </c>
    </row>
    <row r="451" spans="1:22" x14ac:dyDescent="0.2">
      <c r="A451">
        <v>165</v>
      </c>
      <c r="B451" t="s">
        <v>347</v>
      </c>
      <c r="C451" t="s">
        <v>319</v>
      </c>
      <c r="D451" t="s">
        <v>477</v>
      </c>
      <c r="E451" t="s">
        <v>860</v>
      </c>
      <c r="F451">
        <v>126</v>
      </c>
      <c r="G451" t="s">
        <v>26</v>
      </c>
      <c r="H451" t="s">
        <v>496</v>
      </c>
      <c r="I451" t="s">
        <v>404</v>
      </c>
      <c r="J451" t="s">
        <v>580</v>
      </c>
      <c r="K451">
        <v>91.199999999999989</v>
      </c>
      <c r="L451" s="1" t="s">
        <v>704</v>
      </c>
      <c r="M451" t="s">
        <v>861</v>
      </c>
      <c r="N451" s="1" t="s">
        <v>882</v>
      </c>
      <c r="O451">
        <v>91.199999999999989</v>
      </c>
      <c r="P451" t="s">
        <v>496</v>
      </c>
      <c r="Q451" t="s">
        <v>634</v>
      </c>
      <c r="R451" s="1" t="s">
        <v>465</v>
      </c>
      <c r="S451" s="1" t="s">
        <v>406</v>
      </c>
      <c r="T451" s="1" t="s">
        <v>406</v>
      </c>
      <c r="U451" s="1" t="s">
        <v>838</v>
      </c>
      <c r="V451" s="1" t="s">
        <v>883</v>
      </c>
    </row>
    <row r="452" spans="1:22" x14ac:dyDescent="0.2">
      <c r="A452">
        <v>166</v>
      </c>
      <c r="B452" t="s">
        <v>349</v>
      </c>
      <c r="C452" t="s">
        <v>319</v>
      </c>
      <c r="D452" t="s">
        <v>1590</v>
      </c>
      <c r="E452" t="s">
        <v>1573</v>
      </c>
      <c r="F452">
        <v>868</v>
      </c>
      <c r="G452" t="s">
        <v>6</v>
      </c>
      <c r="H452" t="s">
        <v>493</v>
      </c>
      <c r="I452" t="s">
        <v>404</v>
      </c>
      <c r="J452" t="s">
        <v>580</v>
      </c>
      <c r="K452">
        <v>151.76</v>
      </c>
      <c r="L452" s="1" t="s">
        <v>835</v>
      </c>
      <c r="M452" t="s">
        <v>884</v>
      </c>
      <c r="N452" s="1" t="s">
        <v>885</v>
      </c>
      <c r="O452">
        <v>151.76</v>
      </c>
      <c r="P452" t="s">
        <v>493</v>
      </c>
      <c r="Q452" t="s">
        <v>634</v>
      </c>
      <c r="R452" s="1" t="s">
        <v>465</v>
      </c>
      <c r="S452" s="1" t="s">
        <v>406</v>
      </c>
      <c r="T452" s="1" t="s">
        <v>406</v>
      </c>
      <c r="U452" s="1" t="s">
        <v>1588</v>
      </c>
      <c r="V452" s="1" t="s">
        <v>886</v>
      </c>
    </row>
    <row r="453" spans="1:22" x14ac:dyDescent="0.2">
      <c r="A453">
        <v>166</v>
      </c>
      <c r="B453" t="s">
        <v>349</v>
      </c>
      <c r="C453" t="s">
        <v>319</v>
      </c>
      <c r="D453" t="s">
        <v>1590</v>
      </c>
      <c r="E453" t="s">
        <v>1573</v>
      </c>
      <c r="F453">
        <v>868</v>
      </c>
      <c r="G453" t="s">
        <v>7</v>
      </c>
      <c r="H453" t="s">
        <v>415</v>
      </c>
      <c r="I453" t="s">
        <v>404</v>
      </c>
      <c r="J453" t="s">
        <v>580</v>
      </c>
      <c r="K453">
        <v>5.3439999999999994</v>
      </c>
      <c r="L453" s="1" t="s">
        <v>835</v>
      </c>
      <c r="M453" t="s">
        <v>884</v>
      </c>
      <c r="N453" s="1" t="s">
        <v>887</v>
      </c>
      <c r="O453">
        <v>5.3439999999999994</v>
      </c>
      <c r="P453" t="s">
        <v>415</v>
      </c>
      <c r="Q453" t="s">
        <v>634</v>
      </c>
      <c r="R453" s="1" t="s">
        <v>465</v>
      </c>
      <c r="S453" s="1" t="s">
        <v>406</v>
      </c>
      <c r="T453" s="1" t="s">
        <v>406</v>
      </c>
      <c r="U453" s="1" t="s">
        <v>1588</v>
      </c>
      <c r="V453" s="1" t="s">
        <v>886</v>
      </c>
    </row>
    <row r="454" spans="1:22" x14ac:dyDescent="0.2">
      <c r="A454">
        <v>166</v>
      </c>
      <c r="B454" t="s">
        <v>349</v>
      </c>
      <c r="C454" t="s">
        <v>319</v>
      </c>
      <c r="D454" t="s">
        <v>1590</v>
      </c>
      <c r="E454" t="s">
        <v>1573</v>
      </c>
      <c r="F454">
        <v>868</v>
      </c>
      <c r="G454" t="s">
        <v>8</v>
      </c>
      <c r="H454" t="s">
        <v>415</v>
      </c>
      <c r="I454" t="s">
        <v>404</v>
      </c>
      <c r="J454" t="s">
        <v>580</v>
      </c>
      <c r="K454">
        <v>6.1549999999999994</v>
      </c>
      <c r="L454" s="1" t="s">
        <v>835</v>
      </c>
      <c r="M454" t="s">
        <v>884</v>
      </c>
      <c r="N454" s="1" t="s">
        <v>888</v>
      </c>
      <c r="O454">
        <v>6.1549999999999994</v>
      </c>
      <c r="P454" t="s">
        <v>415</v>
      </c>
      <c r="Q454" t="s">
        <v>634</v>
      </c>
      <c r="R454" s="1" t="s">
        <v>465</v>
      </c>
      <c r="S454" s="1" t="s">
        <v>406</v>
      </c>
      <c r="T454" s="1" t="s">
        <v>406</v>
      </c>
      <c r="U454" s="1" t="s">
        <v>1588</v>
      </c>
      <c r="V454" s="1" t="s">
        <v>886</v>
      </c>
    </row>
    <row r="455" spans="1:22" ht="16" customHeight="1" x14ac:dyDescent="0.2">
      <c r="A455">
        <v>166</v>
      </c>
      <c r="B455" t="s">
        <v>349</v>
      </c>
      <c r="C455" t="s">
        <v>319</v>
      </c>
      <c r="D455" t="s">
        <v>1590</v>
      </c>
      <c r="E455" t="s">
        <v>1573</v>
      </c>
      <c r="F455">
        <v>868</v>
      </c>
      <c r="G455" t="s">
        <v>9</v>
      </c>
      <c r="H455" t="s">
        <v>415</v>
      </c>
      <c r="I455" t="s">
        <v>404</v>
      </c>
      <c r="J455" t="s">
        <v>405</v>
      </c>
      <c r="K455">
        <v>0</v>
      </c>
      <c r="L455" s="11" t="s">
        <v>406</v>
      </c>
      <c r="M455" t="s">
        <v>416</v>
      </c>
      <c r="N455" s="11" t="s">
        <v>417</v>
      </c>
      <c r="O455" t="s">
        <v>418</v>
      </c>
      <c r="P455" t="s">
        <v>415</v>
      </c>
      <c r="Q455">
        <v>1</v>
      </c>
      <c r="R455" s="11" t="s">
        <v>406</v>
      </c>
      <c r="S455" s="11" t="s">
        <v>406</v>
      </c>
      <c r="T455" s="11" t="s">
        <v>406</v>
      </c>
      <c r="U455" s="11" t="s">
        <v>419</v>
      </c>
      <c r="V455" s="11" t="s">
        <v>420</v>
      </c>
    </row>
    <row r="456" spans="1:22" x14ac:dyDescent="0.2">
      <c r="A456">
        <v>166</v>
      </c>
      <c r="B456" t="s">
        <v>349</v>
      </c>
      <c r="C456" t="s">
        <v>319</v>
      </c>
      <c r="D456" t="s">
        <v>1590</v>
      </c>
      <c r="E456" t="s">
        <v>1573</v>
      </c>
      <c r="F456">
        <v>868</v>
      </c>
      <c r="G456" t="s">
        <v>10</v>
      </c>
      <c r="H456" t="s">
        <v>415</v>
      </c>
      <c r="I456" t="s">
        <v>404</v>
      </c>
      <c r="J456" t="s">
        <v>580</v>
      </c>
      <c r="K456">
        <v>4.6689999999999996</v>
      </c>
      <c r="L456" s="1" t="s">
        <v>835</v>
      </c>
      <c r="M456" t="s">
        <v>884</v>
      </c>
      <c r="N456" s="1" t="s">
        <v>889</v>
      </c>
      <c r="O456">
        <v>4.6689999999999996</v>
      </c>
      <c r="P456" t="s">
        <v>415</v>
      </c>
      <c r="Q456" t="s">
        <v>634</v>
      </c>
      <c r="R456" s="1" t="s">
        <v>465</v>
      </c>
      <c r="S456" s="1" t="s">
        <v>406</v>
      </c>
      <c r="T456" s="1" t="s">
        <v>406</v>
      </c>
      <c r="U456" s="1" t="s">
        <v>1588</v>
      </c>
      <c r="V456" s="1" t="s">
        <v>886</v>
      </c>
    </row>
    <row r="457" spans="1:22" x14ac:dyDescent="0.2">
      <c r="A457">
        <v>166</v>
      </c>
      <c r="B457" t="s">
        <v>349</v>
      </c>
      <c r="C457" t="s">
        <v>319</v>
      </c>
      <c r="D457" t="s">
        <v>1590</v>
      </c>
      <c r="E457" t="s">
        <v>1573</v>
      </c>
      <c r="F457">
        <v>868</v>
      </c>
      <c r="G457" t="s">
        <v>11</v>
      </c>
      <c r="H457" t="s">
        <v>415</v>
      </c>
      <c r="I457" t="s">
        <v>404</v>
      </c>
      <c r="J457" t="s">
        <v>580</v>
      </c>
      <c r="K457">
        <v>0.35000000000000009</v>
      </c>
      <c r="L457" s="1" t="s">
        <v>835</v>
      </c>
      <c r="M457" t="s">
        <v>884</v>
      </c>
      <c r="N457" s="1" t="s">
        <v>890</v>
      </c>
      <c r="O457">
        <v>0.35000000000000009</v>
      </c>
      <c r="P457" t="s">
        <v>415</v>
      </c>
      <c r="Q457" t="s">
        <v>634</v>
      </c>
      <c r="R457" s="1" t="s">
        <v>465</v>
      </c>
      <c r="S457" s="1" t="s">
        <v>406</v>
      </c>
      <c r="T457" s="1" t="s">
        <v>406</v>
      </c>
      <c r="U457" s="1" t="s">
        <v>1588</v>
      </c>
      <c r="V457" s="1" t="s">
        <v>886</v>
      </c>
    </row>
    <row r="458" spans="1:22" x14ac:dyDescent="0.2">
      <c r="A458">
        <v>166</v>
      </c>
      <c r="B458" t="s">
        <v>349</v>
      </c>
      <c r="C458" t="s">
        <v>319</v>
      </c>
      <c r="D458" t="s">
        <v>1590</v>
      </c>
      <c r="E458" t="s">
        <v>1573</v>
      </c>
      <c r="F458">
        <v>868</v>
      </c>
      <c r="G458" t="s">
        <v>12</v>
      </c>
      <c r="H458" t="s">
        <v>415</v>
      </c>
      <c r="I458" t="s">
        <v>404</v>
      </c>
      <c r="J458" t="s">
        <v>580</v>
      </c>
      <c r="K458">
        <v>2.3250000000000002</v>
      </c>
      <c r="L458" s="1" t="s">
        <v>835</v>
      </c>
      <c r="M458" t="s">
        <v>884</v>
      </c>
      <c r="N458" s="1" t="s">
        <v>891</v>
      </c>
      <c r="O458">
        <v>2.3250000000000002</v>
      </c>
      <c r="P458" t="s">
        <v>415</v>
      </c>
      <c r="Q458" t="s">
        <v>634</v>
      </c>
      <c r="R458" s="1" t="s">
        <v>465</v>
      </c>
      <c r="S458" s="1" t="s">
        <v>406</v>
      </c>
      <c r="T458" s="1" t="s">
        <v>406</v>
      </c>
      <c r="U458" s="1" t="s">
        <v>1588</v>
      </c>
      <c r="V458" s="1" t="s">
        <v>886</v>
      </c>
    </row>
    <row r="459" spans="1:22" x14ac:dyDescent="0.2">
      <c r="A459">
        <v>166</v>
      </c>
      <c r="B459" t="s">
        <v>349</v>
      </c>
      <c r="C459" t="s">
        <v>319</v>
      </c>
      <c r="D459" t="s">
        <v>1590</v>
      </c>
      <c r="E459" t="s">
        <v>1573</v>
      </c>
      <c r="F459">
        <v>868</v>
      </c>
      <c r="G459" t="s">
        <v>13</v>
      </c>
      <c r="H459" t="s">
        <v>403</v>
      </c>
      <c r="I459" t="s">
        <v>404</v>
      </c>
      <c r="J459" t="s">
        <v>580</v>
      </c>
      <c r="K459">
        <v>17.07</v>
      </c>
      <c r="L459" s="1" t="s">
        <v>835</v>
      </c>
      <c r="M459" t="s">
        <v>884</v>
      </c>
      <c r="N459" s="1" t="s">
        <v>892</v>
      </c>
      <c r="O459">
        <v>17.07</v>
      </c>
      <c r="P459" t="s">
        <v>403</v>
      </c>
      <c r="Q459" t="s">
        <v>634</v>
      </c>
      <c r="R459" s="1" t="s">
        <v>465</v>
      </c>
      <c r="S459" s="1" t="s">
        <v>406</v>
      </c>
      <c r="T459" s="1" t="s">
        <v>406</v>
      </c>
      <c r="U459" s="1" t="s">
        <v>1588</v>
      </c>
      <c r="V459" s="1" t="s">
        <v>886</v>
      </c>
    </row>
    <row r="460" spans="1:22" x14ac:dyDescent="0.2">
      <c r="A460">
        <v>166</v>
      </c>
      <c r="B460" t="s">
        <v>349</v>
      </c>
      <c r="C460" t="s">
        <v>319</v>
      </c>
      <c r="D460" t="s">
        <v>1590</v>
      </c>
      <c r="E460" t="s">
        <v>1573</v>
      </c>
      <c r="F460">
        <v>868</v>
      </c>
      <c r="G460" t="s">
        <v>14</v>
      </c>
      <c r="H460" t="s">
        <v>403</v>
      </c>
      <c r="I460" t="s">
        <v>404</v>
      </c>
      <c r="J460" t="s">
        <v>580</v>
      </c>
      <c r="K460">
        <v>689.50999999999988</v>
      </c>
      <c r="L460" s="1" t="s">
        <v>835</v>
      </c>
      <c r="M460" t="s">
        <v>884</v>
      </c>
      <c r="N460" s="1" t="s">
        <v>893</v>
      </c>
      <c r="O460">
        <v>689.50999999999988</v>
      </c>
      <c r="P460" t="s">
        <v>403</v>
      </c>
      <c r="Q460" t="s">
        <v>634</v>
      </c>
      <c r="R460" s="1" t="s">
        <v>465</v>
      </c>
      <c r="S460" s="1" t="s">
        <v>406</v>
      </c>
      <c r="T460" s="1" t="s">
        <v>406</v>
      </c>
      <c r="U460" s="1" t="s">
        <v>1588</v>
      </c>
      <c r="V460" s="1" t="s">
        <v>886</v>
      </c>
    </row>
    <row r="461" spans="1:22" x14ac:dyDescent="0.2">
      <c r="A461">
        <v>166</v>
      </c>
      <c r="B461" t="s">
        <v>349</v>
      </c>
      <c r="C461" t="s">
        <v>319</v>
      </c>
      <c r="D461" t="s">
        <v>1590</v>
      </c>
      <c r="E461" t="s">
        <v>1573</v>
      </c>
      <c r="F461">
        <v>868</v>
      </c>
      <c r="G461" t="s">
        <v>15</v>
      </c>
      <c r="H461" t="s">
        <v>423</v>
      </c>
      <c r="I461" t="s">
        <v>404</v>
      </c>
      <c r="J461" t="s">
        <v>580</v>
      </c>
      <c r="K461">
        <v>2.6700000000000002E-2</v>
      </c>
      <c r="L461" s="1" t="s">
        <v>835</v>
      </c>
      <c r="M461" t="s">
        <v>884</v>
      </c>
      <c r="N461" s="1" t="s">
        <v>894</v>
      </c>
      <c r="O461">
        <v>2.6700000000000002E-2</v>
      </c>
      <c r="P461" t="s">
        <v>423</v>
      </c>
      <c r="Q461" t="s">
        <v>634</v>
      </c>
      <c r="R461" s="1" t="s">
        <v>465</v>
      </c>
      <c r="S461" s="1" t="s">
        <v>406</v>
      </c>
      <c r="T461" s="1" t="s">
        <v>406</v>
      </c>
      <c r="U461" s="1" t="s">
        <v>1588</v>
      </c>
      <c r="V461" s="1" t="s">
        <v>886</v>
      </c>
    </row>
    <row r="462" spans="1:22" x14ac:dyDescent="0.2">
      <c r="A462">
        <v>166</v>
      </c>
      <c r="B462" t="s">
        <v>349</v>
      </c>
      <c r="C462" t="s">
        <v>319</v>
      </c>
      <c r="D462" t="s">
        <v>1590</v>
      </c>
      <c r="E462" t="s">
        <v>1573</v>
      </c>
      <c r="F462">
        <v>868</v>
      </c>
      <c r="G462" t="s">
        <v>16</v>
      </c>
      <c r="H462" t="s">
        <v>423</v>
      </c>
      <c r="I462" t="s">
        <v>404</v>
      </c>
      <c r="J462" t="s">
        <v>580</v>
      </c>
      <c r="K462">
        <v>9.2300000000000035E-2</v>
      </c>
      <c r="L462" s="1" t="s">
        <v>835</v>
      </c>
      <c r="M462" t="s">
        <v>884</v>
      </c>
      <c r="N462" s="1" t="s">
        <v>895</v>
      </c>
      <c r="O462">
        <v>9.2300000000000035E-2</v>
      </c>
      <c r="P462" t="s">
        <v>423</v>
      </c>
      <c r="Q462" t="s">
        <v>634</v>
      </c>
      <c r="R462" s="1" t="s">
        <v>465</v>
      </c>
      <c r="S462" s="1" t="s">
        <v>406</v>
      </c>
      <c r="T462" s="1" t="s">
        <v>406</v>
      </c>
      <c r="U462" s="1" t="s">
        <v>1588</v>
      </c>
      <c r="V462" s="1" t="s">
        <v>886</v>
      </c>
    </row>
    <row r="463" spans="1:22" x14ac:dyDescent="0.2">
      <c r="A463">
        <v>166</v>
      </c>
      <c r="B463" t="s">
        <v>349</v>
      </c>
      <c r="C463" t="s">
        <v>319</v>
      </c>
      <c r="D463" t="s">
        <v>1590</v>
      </c>
      <c r="E463" t="s">
        <v>1573</v>
      </c>
      <c r="F463">
        <v>868</v>
      </c>
      <c r="G463" t="s">
        <v>17</v>
      </c>
      <c r="H463" t="s">
        <v>423</v>
      </c>
      <c r="I463" t="s">
        <v>404</v>
      </c>
      <c r="J463" t="s">
        <v>580</v>
      </c>
      <c r="K463">
        <v>1.3180000000000001</v>
      </c>
      <c r="L463" s="1" t="s">
        <v>835</v>
      </c>
      <c r="M463" t="s">
        <v>884</v>
      </c>
      <c r="N463" s="1" t="s">
        <v>896</v>
      </c>
      <c r="O463">
        <v>1.3180000000000001</v>
      </c>
      <c r="P463" t="s">
        <v>423</v>
      </c>
      <c r="Q463" t="s">
        <v>634</v>
      </c>
      <c r="R463" s="1" t="s">
        <v>465</v>
      </c>
      <c r="S463" s="1" t="s">
        <v>406</v>
      </c>
      <c r="T463" s="1" t="s">
        <v>406</v>
      </c>
      <c r="U463" s="1" t="s">
        <v>1588</v>
      </c>
      <c r="V463" s="1" t="s">
        <v>886</v>
      </c>
    </row>
    <row r="464" spans="1:22" x14ac:dyDescent="0.2">
      <c r="A464">
        <v>166</v>
      </c>
      <c r="B464" t="s">
        <v>349</v>
      </c>
      <c r="C464" t="s">
        <v>319</v>
      </c>
      <c r="D464" t="s">
        <v>1590</v>
      </c>
      <c r="E464" t="s">
        <v>1573</v>
      </c>
      <c r="F464">
        <v>868</v>
      </c>
      <c r="G464" t="s">
        <v>18</v>
      </c>
      <c r="H464" t="s">
        <v>423</v>
      </c>
      <c r="I464" t="s">
        <v>404</v>
      </c>
      <c r="J464" t="s">
        <v>580</v>
      </c>
      <c r="K464">
        <v>6.77</v>
      </c>
      <c r="L464" s="1" t="s">
        <v>835</v>
      </c>
      <c r="M464" t="s">
        <v>884</v>
      </c>
      <c r="N464" s="1" t="s">
        <v>897</v>
      </c>
      <c r="O464">
        <v>6.77</v>
      </c>
      <c r="P464" t="s">
        <v>423</v>
      </c>
      <c r="Q464" t="s">
        <v>634</v>
      </c>
      <c r="R464" s="1" t="s">
        <v>465</v>
      </c>
      <c r="S464" s="1" t="s">
        <v>406</v>
      </c>
      <c r="T464" s="1" t="s">
        <v>406</v>
      </c>
      <c r="U464" s="1" t="s">
        <v>1588</v>
      </c>
      <c r="V464" s="1" t="s">
        <v>886</v>
      </c>
    </row>
    <row r="465" spans="1:22" x14ac:dyDescent="0.2">
      <c r="A465">
        <v>166</v>
      </c>
      <c r="B465" t="s">
        <v>349</v>
      </c>
      <c r="C465" t="s">
        <v>319</v>
      </c>
      <c r="D465" t="s">
        <v>1590</v>
      </c>
      <c r="E465" t="s">
        <v>1573</v>
      </c>
      <c r="F465">
        <v>868</v>
      </c>
      <c r="G465" t="s">
        <v>19</v>
      </c>
      <c r="H465" t="s">
        <v>423</v>
      </c>
      <c r="I465" t="s">
        <v>404</v>
      </c>
      <c r="J465" t="s">
        <v>580</v>
      </c>
      <c r="K465">
        <v>40.47</v>
      </c>
      <c r="L465" s="1" t="s">
        <v>835</v>
      </c>
      <c r="M465" t="s">
        <v>884</v>
      </c>
      <c r="N465" s="1" t="s">
        <v>898</v>
      </c>
      <c r="O465">
        <v>40.47</v>
      </c>
      <c r="P465" t="s">
        <v>423</v>
      </c>
      <c r="Q465" t="s">
        <v>634</v>
      </c>
      <c r="R465" s="1" t="s">
        <v>465</v>
      </c>
      <c r="S465" s="1" t="s">
        <v>406</v>
      </c>
      <c r="T465" s="1" t="s">
        <v>406</v>
      </c>
      <c r="U465" s="1" t="s">
        <v>1588</v>
      </c>
      <c r="V465" s="1" t="s">
        <v>886</v>
      </c>
    </row>
    <row r="466" spans="1:22" x14ac:dyDescent="0.2">
      <c r="A466">
        <v>166</v>
      </c>
      <c r="B466" t="s">
        <v>349</v>
      </c>
      <c r="C466" t="s">
        <v>319</v>
      </c>
      <c r="D466" t="s">
        <v>1590</v>
      </c>
      <c r="E466" t="s">
        <v>1573</v>
      </c>
      <c r="F466">
        <v>868</v>
      </c>
      <c r="G466" t="s">
        <v>20</v>
      </c>
      <c r="H466" t="s">
        <v>423</v>
      </c>
      <c r="I466" t="s">
        <v>404</v>
      </c>
      <c r="J466" t="s">
        <v>580</v>
      </c>
      <c r="K466">
        <v>0.37190000000000001</v>
      </c>
      <c r="L466" s="1" t="s">
        <v>835</v>
      </c>
      <c r="M466" t="s">
        <v>884</v>
      </c>
      <c r="N466" s="1" t="s">
        <v>899</v>
      </c>
      <c r="O466">
        <v>0.37190000000000001</v>
      </c>
      <c r="P466" t="s">
        <v>423</v>
      </c>
      <c r="Q466" t="s">
        <v>634</v>
      </c>
      <c r="R466" s="1" t="s">
        <v>465</v>
      </c>
      <c r="S466" s="1" t="s">
        <v>406</v>
      </c>
      <c r="T466" s="1" t="s">
        <v>406</v>
      </c>
      <c r="U466" s="1" t="s">
        <v>1588</v>
      </c>
      <c r="V466" s="1" t="s">
        <v>886</v>
      </c>
    </row>
    <row r="467" spans="1:22" x14ac:dyDescent="0.2">
      <c r="A467">
        <v>166</v>
      </c>
      <c r="B467" t="s">
        <v>349</v>
      </c>
      <c r="C467" t="s">
        <v>319</v>
      </c>
      <c r="D467" t="s">
        <v>1590</v>
      </c>
      <c r="E467" t="s">
        <v>1573</v>
      </c>
      <c r="F467">
        <v>868</v>
      </c>
      <c r="G467" t="s">
        <v>21</v>
      </c>
      <c r="H467" t="s">
        <v>423</v>
      </c>
      <c r="I467" t="s">
        <v>404</v>
      </c>
      <c r="J467" t="s">
        <v>580</v>
      </c>
      <c r="K467">
        <v>1.639</v>
      </c>
      <c r="L467" s="1" t="s">
        <v>835</v>
      </c>
      <c r="M467" t="s">
        <v>884</v>
      </c>
      <c r="N467" s="1" t="s">
        <v>900</v>
      </c>
      <c r="O467">
        <v>1.639</v>
      </c>
      <c r="P467" t="s">
        <v>423</v>
      </c>
      <c r="Q467" t="s">
        <v>634</v>
      </c>
      <c r="R467" s="1" t="s">
        <v>465</v>
      </c>
      <c r="S467" s="1" t="s">
        <v>406</v>
      </c>
      <c r="T467" s="1" t="s">
        <v>406</v>
      </c>
      <c r="U467" s="1" t="s">
        <v>1588</v>
      </c>
      <c r="V467" s="1" t="s">
        <v>886</v>
      </c>
    </row>
    <row r="468" spans="1:22" x14ac:dyDescent="0.2">
      <c r="A468">
        <v>166</v>
      </c>
      <c r="B468" t="s">
        <v>349</v>
      </c>
      <c r="C468" t="s">
        <v>319</v>
      </c>
      <c r="D468" t="s">
        <v>1590</v>
      </c>
      <c r="E468" t="s">
        <v>1573</v>
      </c>
      <c r="F468">
        <v>868</v>
      </c>
      <c r="G468" t="s">
        <v>22</v>
      </c>
      <c r="H468" t="s">
        <v>423</v>
      </c>
      <c r="I468" t="s">
        <v>404</v>
      </c>
      <c r="J468" t="s">
        <v>580</v>
      </c>
      <c r="K468">
        <v>73.78</v>
      </c>
      <c r="L468" s="1" t="s">
        <v>835</v>
      </c>
      <c r="M468" t="s">
        <v>884</v>
      </c>
      <c r="N468" s="1" t="s">
        <v>901</v>
      </c>
      <c r="O468">
        <v>73.78</v>
      </c>
      <c r="P468" t="s">
        <v>423</v>
      </c>
      <c r="Q468" t="s">
        <v>634</v>
      </c>
      <c r="R468" s="1" t="s">
        <v>465</v>
      </c>
      <c r="S468" s="1" t="s">
        <v>406</v>
      </c>
      <c r="T468" s="1" t="s">
        <v>406</v>
      </c>
      <c r="U468" s="1" t="s">
        <v>1588</v>
      </c>
      <c r="V468" s="1" t="s">
        <v>886</v>
      </c>
    </row>
    <row r="469" spans="1:22" x14ac:dyDescent="0.2">
      <c r="A469">
        <v>166</v>
      </c>
      <c r="B469" t="s">
        <v>349</v>
      </c>
      <c r="C469" t="s">
        <v>319</v>
      </c>
      <c r="D469" t="s">
        <v>1590</v>
      </c>
      <c r="E469" t="s">
        <v>1573</v>
      </c>
      <c r="F469">
        <v>868</v>
      </c>
      <c r="G469" t="s">
        <v>23</v>
      </c>
      <c r="H469" t="s">
        <v>423</v>
      </c>
      <c r="I469" t="s">
        <v>404</v>
      </c>
      <c r="J469" t="s">
        <v>580</v>
      </c>
      <c r="K469">
        <v>110.423</v>
      </c>
      <c r="L469" s="1" t="s">
        <v>835</v>
      </c>
      <c r="M469" t="s">
        <v>884</v>
      </c>
      <c r="N469" s="1" t="s">
        <v>902</v>
      </c>
      <c r="O469">
        <v>110.423</v>
      </c>
      <c r="P469" t="s">
        <v>423</v>
      </c>
      <c r="Q469" t="s">
        <v>634</v>
      </c>
      <c r="R469" s="1" t="s">
        <v>465</v>
      </c>
      <c r="S469" s="1" t="s">
        <v>406</v>
      </c>
      <c r="T469" s="1" t="s">
        <v>406</v>
      </c>
      <c r="U469" s="1" t="s">
        <v>1588</v>
      </c>
      <c r="V469" s="1" t="s">
        <v>886</v>
      </c>
    </row>
    <row r="470" spans="1:22" x14ac:dyDescent="0.2">
      <c r="A470">
        <v>166</v>
      </c>
      <c r="B470" t="s">
        <v>349</v>
      </c>
      <c r="C470" t="s">
        <v>319</v>
      </c>
      <c r="D470" t="s">
        <v>1590</v>
      </c>
      <c r="E470" t="s">
        <v>1573</v>
      </c>
      <c r="F470">
        <v>868</v>
      </c>
      <c r="G470" t="s">
        <v>24</v>
      </c>
      <c r="H470" t="s">
        <v>423</v>
      </c>
      <c r="I470" t="s">
        <v>404</v>
      </c>
      <c r="J470" t="s">
        <v>580</v>
      </c>
      <c r="K470">
        <v>626.39599999999996</v>
      </c>
      <c r="L470" s="1" t="s">
        <v>835</v>
      </c>
      <c r="M470" t="s">
        <v>884</v>
      </c>
      <c r="N470" s="1" t="s">
        <v>903</v>
      </c>
      <c r="O470">
        <v>626.39599999999996</v>
      </c>
      <c r="P470" t="s">
        <v>423</v>
      </c>
      <c r="Q470" t="s">
        <v>634</v>
      </c>
      <c r="R470" s="1" t="s">
        <v>465</v>
      </c>
      <c r="S470" s="1" t="s">
        <v>406</v>
      </c>
      <c r="T470" s="1" t="s">
        <v>406</v>
      </c>
      <c r="U470" s="1" t="s">
        <v>1588</v>
      </c>
      <c r="V470" s="1" t="s">
        <v>886</v>
      </c>
    </row>
    <row r="471" spans="1:22" x14ac:dyDescent="0.2">
      <c r="A471">
        <v>166</v>
      </c>
      <c r="B471" t="s">
        <v>349</v>
      </c>
      <c r="C471" t="s">
        <v>319</v>
      </c>
      <c r="D471" t="s">
        <v>1590</v>
      </c>
      <c r="E471" t="s">
        <v>1573</v>
      </c>
      <c r="F471">
        <v>868</v>
      </c>
      <c r="G471" t="s">
        <v>25</v>
      </c>
      <c r="H471" t="s">
        <v>423</v>
      </c>
      <c r="I471" t="s">
        <v>404</v>
      </c>
      <c r="J471" t="s">
        <v>580</v>
      </c>
      <c r="K471">
        <v>0.83800000000000008</v>
      </c>
      <c r="L471" s="1" t="s">
        <v>835</v>
      </c>
      <c r="M471" t="s">
        <v>884</v>
      </c>
      <c r="N471" s="1" t="s">
        <v>904</v>
      </c>
      <c r="O471">
        <v>0.83800000000000008</v>
      </c>
      <c r="P471" t="s">
        <v>423</v>
      </c>
      <c r="Q471" t="s">
        <v>634</v>
      </c>
      <c r="R471" s="1" t="s">
        <v>465</v>
      </c>
      <c r="S471" s="1" t="s">
        <v>406</v>
      </c>
      <c r="T471" s="1" t="s">
        <v>406</v>
      </c>
      <c r="U471" s="1" t="s">
        <v>1588</v>
      </c>
      <c r="V471" s="1" t="s">
        <v>886</v>
      </c>
    </row>
    <row r="472" spans="1:22" x14ac:dyDescent="0.2">
      <c r="A472">
        <v>166</v>
      </c>
      <c r="B472" t="s">
        <v>349</v>
      </c>
      <c r="C472" t="s">
        <v>319</v>
      </c>
      <c r="D472" t="s">
        <v>1590</v>
      </c>
      <c r="E472" t="s">
        <v>1573</v>
      </c>
      <c r="F472">
        <v>868</v>
      </c>
      <c r="G472" t="s">
        <v>26</v>
      </c>
      <c r="H472" t="s">
        <v>496</v>
      </c>
      <c r="I472" t="s">
        <v>404</v>
      </c>
      <c r="J472" t="s">
        <v>580</v>
      </c>
      <c r="K472">
        <v>95.78</v>
      </c>
      <c r="L472" s="1" t="s">
        <v>835</v>
      </c>
      <c r="M472" t="s">
        <v>884</v>
      </c>
      <c r="N472" s="1" t="s">
        <v>905</v>
      </c>
      <c r="O472">
        <v>95.78</v>
      </c>
      <c r="P472" t="s">
        <v>496</v>
      </c>
      <c r="Q472" t="s">
        <v>634</v>
      </c>
      <c r="R472" s="1" t="s">
        <v>465</v>
      </c>
      <c r="S472" s="1" t="s">
        <v>406</v>
      </c>
      <c r="T472" s="1" t="s">
        <v>406</v>
      </c>
      <c r="U472" s="1" t="s">
        <v>1588</v>
      </c>
      <c r="V472" s="1" t="s">
        <v>906</v>
      </c>
    </row>
    <row r="473" spans="1:22" x14ac:dyDescent="0.2">
      <c r="A473">
        <v>167</v>
      </c>
      <c r="B473" t="s">
        <v>351</v>
      </c>
      <c r="C473" t="s">
        <v>319</v>
      </c>
      <c r="D473" t="s">
        <v>1591</v>
      </c>
      <c r="E473" t="s">
        <v>1569</v>
      </c>
      <c r="F473">
        <v>150</v>
      </c>
      <c r="G473" t="s">
        <v>6</v>
      </c>
      <c r="H473" t="s">
        <v>493</v>
      </c>
      <c r="I473" t="s">
        <v>404</v>
      </c>
      <c r="J473" t="s">
        <v>580</v>
      </c>
      <c r="K473">
        <v>66</v>
      </c>
      <c r="L473" s="1" t="s">
        <v>907</v>
      </c>
      <c r="M473" t="s">
        <v>908</v>
      </c>
      <c r="N473" s="1" t="s">
        <v>909</v>
      </c>
      <c r="O473">
        <v>66</v>
      </c>
      <c r="P473" t="s">
        <v>493</v>
      </c>
      <c r="Q473" t="s">
        <v>634</v>
      </c>
      <c r="R473" s="1" t="s">
        <v>567</v>
      </c>
      <c r="S473" s="1" t="s">
        <v>406</v>
      </c>
      <c r="T473" s="1" t="s">
        <v>406</v>
      </c>
      <c r="U473" s="1" t="s">
        <v>1589</v>
      </c>
      <c r="V473" s="1" t="s">
        <v>910</v>
      </c>
    </row>
    <row r="474" spans="1:22" x14ac:dyDescent="0.2">
      <c r="A474">
        <v>167</v>
      </c>
      <c r="B474" t="s">
        <v>351</v>
      </c>
      <c r="C474" t="s">
        <v>319</v>
      </c>
      <c r="D474" t="s">
        <v>1591</v>
      </c>
      <c r="E474" t="s">
        <v>1569</v>
      </c>
      <c r="F474">
        <v>150</v>
      </c>
      <c r="G474" t="s">
        <v>7</v>
      </c>
      <c r="H474" t="s">
        <v>415</v>
      </c>
      <c r="I474" t="s">
        <v>404</v>
      </c>
      <c r="J474" t="s">
        <v>580</v>
      </c>
      <c r="K474">
        <v>1.53</v>
      </c>
      <c r="L474" s="1" t="s">
        <v>907</v>
      </c>
      <c r="M474" t="s">
        <v>908</v>
      </c>
      <c r="N474" s="1" t="s">
        <v>911</v>
      </c>
      <c r="O474">
        <v>1.53</v>
      </c>
      <c r="P474" t="s">
        <v>415</v>
      </c>
      <c r="Q474" t="s">
        <v>634</v>
      </c>
      <c r="R474" s="1" t="s">
        <v>567</v>
      </c>
      <c r="S474" s="1" t="s">
        <v>406</v>
      </c>
      <c r="T474" s="1" t="s">
        <v>406</v>
      </c>
      <c r="U474" s="1" t="s">
        <v>1589</v>
      </c>
      <c r="V474" s="1" t="s">
        <v>910</v>
      </c>
    </row>
    <row r="475" spans="1:22" x14ac:dyDescent="0.2">
      <c r="A475">
        <v>167</v>
      </c>
      <c r="B475" t="s">
        <v>351</v>
      </c>
      <c r="C475" t="s">
        <v>319</v>
      </c>
      <c r="D475" t="s">
        <v>1591</v>
      </c>
      <c r="E475" t="s">
        <v>1569</v>
      </c>
      <c r="F475">
        <v>150</v>
      </c>
      <c r="G475" t="s">
        <v>8</v>
      </c>
      <c r="H475" t="s">
        <v>415</v>
      </c>
      <c r="I475" t="s">
        <v>404</v>
      </c>
      <c r="J475" t="s">
        <v>580</v>
      </c>
      <c r="K475">
        <v>2.64</v>
      </c>
      <c r="L475" s="1" t="s">
        <v>907</v>
      </c>
      <c r="M475" t="s">
        <v>908</v>
      </c>
      <c r="N475" s="1" t="s">
        <v>912</v>
      </c>
      <c r="O475">
        <v>2.64</v>
      </c>
      <c r="P475" t="s">
        <v>415</v>
      </c>
      <c r="Q475" t="s">
        <v>634</v>
      </c>
      <c r="R475" s="1" t="s">
        <v>567</v>
      </c>
      <c r="S475" s="1" t="s">
        <v>406</v>
      </c>
      <c r="T475" s="1" t="s">
        <v>406</v>
      </c>
      <c r="U475" s="1" t="s">
        <v>1589</v>
      </c>
      <c r="V475" s="1" t="s">
        <v>910</v>
      </c>
    </row>
    <row r="476" spans="1:22" ht="16" customHeight="1" x14ac:dyDescent="0.2">
      <c r="A476">
        <v>167</v>
      </c>
      <c r="B476" t="s">
        <v>351</v>
      </c>
      <c r="C476" t="s">
        <v>319</v>
      </c>
      <c r="D476" t="s">
        <v>1591</v>
      </c>
      <c r="E476" t="s">
        <v>1569</v>
      </c>
      <c r="F476">
        <v>150</v>
      </c>
      <c r="G476" t="s">
        <v>9</v>
      </c>
      <c r="H476" t="s">
        <v>415</v>
      </c>
      <c r="I476" t="s">
        <v>404</v>
      </c>
      <c r="J476" t="s">
        <v>405</v>
      </c>
      <c r="K476">
        <v>0</v>
      </c>
      <c r="L476" s="11" t="s">
        <v>406</v>
      </c>
      <c r="M476" t="s">
        <v>416</v>
      </c>
      <c r="N476" s="11" t="s">
        <v>417</v>
      </c>
      <c r="O476" t="s">
        <v>418</v>
      </c>
      <c r="P476" t="s">
        <v>415</v>
      </c>
      <c r="Q476">
        <v>1</v>
      </c>
      <c r="R476" s="11" t="s">
        <v>406</v>
      </c>
      <c r="S476" s="11" t="s">
        <v>406</v>
      </c>
      <c r="T476" s="11" t="s">
        <v>406</v>
      </c>
      <c r="U476" s="11" t="s">
        <v>419</v>
      </c>
      <c r="V476" s="11" t="s">
        <v>420</v>
      </c>
    </row>
    <row r="477" spans="1:22" x14ac:dyDescent="0.2">
      <c r="A477">
        <v>167</v>
      </c>
      <c r="B477" t="s">
        <v>351</v>
      </c>
      <c r="C477" t="s">
        <v>319</v>
      </c>
      <c r="D477" t="s">
        <v>1591</v>
      </c>
      <c r="E477" t="s">
        <v>1569</v>
      </c>
      <c r="F477">
        <v>150</v>
      </c>
      <c r="G477" t="s">
        <v>10</v>
      </c>
      <c r="H477" t="s">
        <v>415</v>
      </c>
      <c r="I477" t="s">
        <v>404</v>
      </c>
      <c r="J477" t="s">
        <v>580</v>
      </c>
      <c r="K477">
        <v>9.0449999999999999</v>
      </c>
      <c r="L477" s="1" t="s">
        <v>907</v>
      </c>
      <c r="M477" t="s">
        <v>908</v>
      </c>
      <c r="N477" s="1" t="s">
        <v>913</v>
      </c>
      <c r="O477">
        <v>9.0449999999999999</v>
      </c>
      <c r="P477" t="s">
        <v>415</v>
      </c>
      <c r="Q477" t="s">
        <v>634</v>
      </c>
      <c r="R477" s="1" t="s">
        <v>567</v>
      </c>
      <c r="S477" s="1" t="s">
        <v>406</v>
      </c>
      <c r="T477" s="1" t="s">
        <v>406</v>
      </c>
      <c r="U477" s="1" t="s">
        <v>1589</v>
      </c>
      <c r="V477" s="1" t="s">
        <v>910</v>
      </c>
    </row>
    <row r="478" spans="1:22" x14ac:dyDescent="0.2">
      <c r="A478">
        <v>167</v>
      </c>
      <c r="B478" t="s">
        <v>351</v>
      </c>
      <c r="C478" t="s">
        <v>319</v>
      </c>
      <c r="D478" t="s">
        <v>1591</v>
      </c>
      <c r="E478" t="s">
        <v>1569</v>
      </c>
      <c r="F478">
        <v>150</v>
      </c>
      <c r="G478" t="s">
        <v>11</v>
      </c>
      <c r="H478" t="s">
        <v>415</v>
      </c>
      <c r="I478" t="s">
        <v>404</v>
      </c>
      <c r="J478" t="s">
        <v>580</v>
      </c>
      <c r="K478">
        <v>0.435</v>
      </c>
      <c r="L478" s="1" t="s">
        <v>907</v>
      </c>
      <c r="M478" t="s">
        <v>908</v>
      </c>
      <c r="N478" s="1" t="s">
        <v>914</v>
      </c>
      <c r="O478">
        <v>0.435</v>
      </c>
      <c r="P478" t="s">
        <v>415</v>
      </c>
      <c r="Q478" t="s">
        <v>634</v>
      </c>
      <c r="R478" s="1" t="s">
        <v>567</v>
      </c>
      <c r="S478" s="1" t="s">
        <v>406</v>
      </c>
      <c r="T478" s="1" t="s">
        <v>406</v>
      </c>
      <c r="U478" s="1" t="s">
        <v>1589</v>
      </c>
      <c r="V478" s="1" t="s">
        <v>910</v>
      </c>
    </row>
    <row r="479" spans="1:22" x14ac:dyDescent="0.2">
      <c r="A479">
        <v>167</v>
      </c>
      <c r="B479" t="s">
        <v>351</v>
      </c>
      <c r="C479" t="s">
        <v>319</v>
      </c>
      <c r="D479" t="s">
        <v>1591</v>
      </c>
      <c r="E479" t="s">
        <v>1569</v>
      </c>
      <c r="F479">
        <v>150</v>
      </c>
      <c r="G479" t="s">
        <v>12</v>
      </c>
      <c r="H479" t="s">
        <v>415</v>
      </c>
      <c r="I479" t="s">
        <v>404</v>
      </c>
      <c r="J479" t="s">
        <v>580</v>
      </c>
      <c r="K479">
        <v>0.877</v>
      </c>
      <c r="L479" s="1" t="s">
        <v>907</v>
      </c>
      <c r="M479" t="s">
        <v>908</v>
      </c>
      <c r="N479" s="1" t="s">
        <v>915</v>
      </c>
      <c r="O479">
        <v>0.877</v>
      </c>
      <c r="P479" t="s">
        <v>415</v>
      </c>
      <c r="Q479" t="s">
        <v>634</v>
      </c>
      <c r="R479" s="1" t="s">
        <v>567</v>
      </c>
      <c r="S479" s="1" t="s">
        <v>406</v>
      </c>
      <c r="T479" s="1" t="s">
        <v>406</v>
      </c>
      <c r="U479" s="1" t="s">
        <v>1589</v>
      </c>
      <c r="V479" s="1" t="s">
        <v>910</v>
      </c>
    </row>
    <row r="480" spans="1:22" x14ac:dyDescent="0.2">
      <c r="A480">
        <v>167</v>
      </c>
      <c r="B480" t="s">
        <v>351</v>
      </c>
      <c r="C480" t="s">
        <v>319</v>
      </c>
      <c r="D480" t="s">
        <v>1591</v>
      </c>
      <c r="E480" t="s">
        <v>1569</v>
      </c>
      <c r="F480">
        <v>150</v>
      </c>
      <c r="G480" t="s">
        <v>13</v>
      </c>
      <c r="H480" t="s">
        <v>403</v>
      </c>
      <c r="I480" t="s">
        <v>404</v>
      </c>
      <c r="J480" t="s">
        <v>580</v>
      </c>
      <c r="K480">
        <v>0</v>
      </c>
      <c r="L480" s="1" t="s">
        <v>907</v>
      </c>
      <c r="M480" t="s">
        <v>908</v>
      </c>
      <c r="N480" s="1" t="s">
        <v>916</v>
      </c>
      <c r="O480">
        <v>0</v>
      </c>
      <c r="P480" t="s">
        <v>403</v>
      </c>
      <c r="Q480" t="s">
        <v>634</v>
      </c>
      <c r="R480" s="1" t="s">
        <v>567</v>
      </c>
      <c r="S480" s="1" t="s">
        <v>406</v>
      </c>
      <c r="T480" s="1" t="s">
        <v>406</v>
      </c>
      <c r="U480" s="1" t="s">
        <v>1589</v>
      </c>
      <c r="V480" s="1" t="s">
        <v>910</v>
      </c>
    </row>
    <row r="481" spans="1:22" x14ac:dyDescent="0.2">
      <c r="A481">
        <v>167</v>
      </c>
      <c r="B481" t="s">
        <v>351</v>
      </c>
      <c r="C481" t="s">
        <v>319</v>
      </c>
      <c r="D481" t="s">
        <v>1591</v>
      </c>
      <c r="E481" t="s">
        <v>1569</v>
      </c>
      <c r="F481">
        <v>150</v>
      </c>
      <c r="G481" t="s">
        <v>14</v>
      </c>
      <c r="H481" t="s">
        <v>403</v>
      </c>
      <c r="I481" t="s">
        <v>404</v>
      </c>
      <c r="J481" t="s">
        <v>580</v>
      </c>
      <c r="K481">
        <v>0.89999999999999991</v>
      </c>
      <c r="L481" s="1" t="s">
        <v>907</v>
      </c>
      <c r="M481" t="s">
        <v>908</v>
      </c>
      <c r="N481" s="1" t="s">
        <v>917</v>
      </c>
      <c r="O481">
        <v>0.89999999999999991</v>
      </c>
      <c r="P481" t="s">
        <v>403</v>
      </c>
      <c r="Q481" t="s">
        <v>634</v>
      </c>
      <c r="R481" s="1" t="s">
        <v>567</v>
      </c>
      <c r="S481" s="1" t="s">
        <v>406</v>
      </c>
      <c r="T481" s="1" t="s">
        <v>406</v>
      </c>
      <c r="U481" s="1" t="s">
        <v>1589</v>
      </c>
      <c r="V481" s="1" t="s">
        <v>910</v>
      </c>
    </row>
    <row r="482" spans="1:22" x14ac:dyDescent="0.2">
      <c r="A482">
        <v>167</v>
      </c>
      <c r="B482" t="s">
        <v>351</v>
      </c>
      <c r="C482" t="s">
        <v>319</v>
      </c>
      <c r="D482" t="s">
        <v>1591</v>
      </c>
      <c r="E482" t="s">
        <v>1569</v>
      </c>
      <c r="F482">
        <v>150</v>
      </c>
      <c r="G482" t="s">
        <v>15</v>
      </c>
      <c r="H482" t="s">
        <v>423</v>
      </c>
      <c r="I482" t="s">
        <v>404</v>
      </c>
      <c r="J482" t="s">
        <v>580</v>
      </c>
      <c r="K482">
        <v>6.7199999999999996E-2</v>
      </c>
      <c r="L482" s="1" t="s">
        <v>907</v>
      </c>
      <c r="M482" t="s">
        <v>908</v>
      </c>
      <c r="N482" s="1" t="s">
        <v>918</v>
      </c>
      <c r="O482">
        <v>6.7199999999999996E-2</v>
      </c>
      <c r="P482" t="s">
        <v>423</v>
      </c>
      <c r="Q482" t="s">
        <v>634</v>
      </c>
      <c r="R482" s="1" t="s">
        <v>567</v>
      </c>
      <c r="S482" s="1" t="s">
        <v>406</v>
      </c>
      <c r="T482" s="1" t="s">
        <v>406</v>
      </c>
      <c r="U482" s="1" t="s">
        <v>1589</v>
      </c>
      <c r="V482" s="1" t="s">
        <v>910</v>
      </c>
    </row>
    <row r="483" spans="1:22" x14ac:dyDescent="0.2">
      <c r="A483">
        <v>167</v>
      </c>
      <c r="B483" t="s">
        <v>351</v>
      </c>
      <c r="C483" t="s">
        <v>319</v>
      </c>
      <c r="D483" t="s">
        <v>1591</v>
      </c>
      <c r="E483" t="s">
        <v>1569</v>
      </c>
      <c r="F483">
        <v>150</v>
      </c>
      <c r="G483" t="s">
        <v>16</v>
      </c>
      <c r="H483" t="s">
        <v>423</v>
      </c>
      <c r="I483" t="s">
        <v>404</v>
      </c>
      <c r="J483" t="s">
        <v>580</v>
      </c>
      <c r="K483">
        <v>3.8249999999999999E-2</v>
      </c>
      <c r="L483" s="1" t="s">
        <v>907</v>
      </c>
      <c r="M483" t="s">
        <v>908</v>
      </c>
      <c r="N483" s="1" t="s">
        <v>919</v>
      </c>
      <c r="O483">
        <v>3.8249999999999999E-2</v>
      </c>
      <c r="P483" t="s">
        <v>423</v>
      </c>
      <c r="Q483" t="s">
        <v>634</v>
      </c>
      <c r="R483" s="1" t="s">
        <v>567</v>
      </c>
      <c r="S483" s="1" t="s">
        <v>406</v>
      </c>
      <c r="T483" s="1" t="s">
        <v>406</v>
      </c>
      <c r="U483" s="1" t="s">
        <v>1589</v>
      </c>
      <c r="V483" s="1" t="s">
        <v>910</v>
      </c>
    </row>
    <row r="484" spans="1:22" x14ac:dyDescent="0.2">
      <c r="A484">
        <v>167</v>
      </c>
      <c r="B484" t="s">
        <v>351</v>
      </c>
      <c r="C484" t="s">
        <v>319</v>
      </c>
      <c r="D484" t="s">
        <v>1591</v>
      </c>
      <c r="E484" t="s">
        <v>1569</v>
      </c>
      <c r="F484">
        <v>150</v>
      </c>
      <c r="G484" t="s">
        <v>17</v>
      </c>
      <c r="H484" t="s">
        <v>423</v>
      </c>
      <c r="I484" t="s">
        <v>404</v>
      </c>
      <c r="J484" t="s">
        <v>580</v>
      </c>
      <c r="K484">
        <v>0.81</v>
      </c>
      <c r="L484" s="1" t="s">
        <v>907</v>
      </c>
      <c r="M484" t="s">
        <v>908</v>
      </c>
      <c r="N484" s="1" t="s">
        <v>920</v>
      </c>
      <c r="O484">
        <v>0.81</v>
      </c>
      <c r="P484" t="s">
        <v>423</v>
      </c>
      <c r="Q484" t="s">
        <v>634</v>
      </c>
      <c r="R484" s="1" t="s">
        <v>567</v>
      </c>
      <c r="S484" s="1" t="s">
        <v>406</v>
      </c>
      <c r="T484" s="1" t="s">
        <v>406</v>
      </c>
      <c r="U484" s="1" t="s">
        <v>1589</v>
      </c>
      <c r="V484" s="1" t="s">
        <v>910</v>
      </c>
    </row>
    <row r="485" spans="1:22" x14ac:dyDescent="0.2">
      <c r="A485">
        <v>167</v>
      </c>
      <c r="B485" t="s">
        <v>351</v>
      </c>
      <c r="C485" t="s">
        <v>319</v>
      </c>
      <c r="D485" t="s">
        <v>1591</v>
      </c>
      <c r="E485" t="s">
        <v>1569</v>
      </c>
      <c r="F485">
        <v>150</v>
      </c>
      <c r="G485" t="s">
        <v>18</v>
      </c>
      <c r="H485" t="s">
        <v>423</v>
      </c>
      <c r="I485" t="s">
        <v>404</v>
      </c>
      <c r="J485" t="s">
        <v>580</v>
      </c>
      <c r="K485">
        <v>4.4999999999999998E-2</v>
      </c>
      <c r="L485" s="1" t="s">
        <v>907</v>
      </c>
      <c r="M485" t="s">
        <v>908</v>
      </c>
      <c r="N485" s="1" t="s">
        <v>921</v>
      </c>
      <c r="O485">
        <v>4.4999999999999998E-2</v>
      </c>
      <c r="P485" t="s">
        <v>423</v>
      </c>
      <c r="Q485" t="s">
        <v>634</v>
      </c>
      <c r="R485" s="1" t="s">
        <v>567</v>
      </c>
      <c r="S485" s="1" t="s">
        <v>406</v>
      </c>
      <c r="T485" s="1" t="s">
        <v>406</v>
      </c>
      <c r="U485" s="1" t="s">
        <v>1589</v>
      </c>
      <c r="V485" s="1" t="s">
        <v>910</v>
      </c>
    </row>
    <row r="486" spans="1:22" x14ac:dyDescent="0.2">
      <c r="A486">
        <v>167</v>
      </c>
      <c r="B486" t="s">
        <v>351</v>
      </c>
      <c r="C486" t="s">
        <v>319</v>
      </c>
      <c r="D486" t="s">
        <v>1591</v>
      </c>
      <c r="E486" t="s">
        <v>1569</v>
      </c>
      <c r="F486">
        <v>150</v>
      </c>
      <c r="G486" t="s">
        <v>19</v>
      </c>
      <c r="H486" t="s">
        <v>423</v>
      </c>
      <c r="I486" t="s">
        <v>404</v>
      </c>
      <c r="J486" t="s">
        <v>580</v>
      </c>
      <c r="K486">
        <v>11.65</v>
      </c>
      <c r="L486" s="1" t="s">
        <v>907</v>
      </c>
      <c r="M486" t="s">
        <v>908</v>
      </c>
      <c r="N486" s="1" t="s">
        <v>922</v>
      </c>
      <c r="O486">
        <v>11.65</v>
      </c>
      <c r="P486" t="s">
        <v>423</v>
      </c>
      <c r="Q486" t="s">
        <v>634</v>
      </c>
      <c r="R486" s="1" t="s">
        <v>567</v>
      </c>
      <c r="S486" s="1" t="s">
        <v>406</v>
      </c>
      <c r="T486" s="1" t="s">
        <v>406</v>
      </c>
      <c r="U486" s="1" t="s">
        <v>1589</v>
      </c>
      <c r="V486" s="1" t="s">
        <v>910</v>
      </c>
    </row>
    <row r="487" spans="1:22" x14ac:dyDescent="0.2">
      <c r="A487">
        <v>167</v>
      </c>
      <c r="B487" t="s">
        <v>351</v>
      </c>
      <c r="C487" t="s">
        <v>319</v>
      </c>
      <c r="D487" t="s">
        <v>1591</v>
      </c>
      <c r="E487" t="s">
        <v>1569</v>
      </c>
      <c r="F487">
        <v>150</v>
      </c>
      <c r="G487" t="s">
        <v>20</v>
      </c>
      <c r="H487" t="s">
        <v>423</v>
      </c>
      <c r="I487" t="s">
        <v>404</v>
      </c>
      <c r="J487" t="s">
        <v>580</v>
      </c>
      <c r="K487">
        <v>2.4850000000000001E-2</v>
      </c>
      <c r="L487" s="1" t="s">
        <v>907</v>
      </c>
      <c r="M487" t="s">
        <v>908</v>
      </c>
      <c r="N487" s="1" t="s">
        <v>923</v>
      </c>
      <c r="O487">
        <v>2.4850000000000001E-2</v>
      </c>
      <c r="P487" t="s">
        <v>423</v>
      </c>
      <c r="Q487" t="s">
        <v>634</v>
      </c>
      <c r="R487" s="1" t="s">
        <v>567</v>
      </c>
      <c r="S487" s="1" t="s">
        <v>406</v>
      </c>
      <c r="T487" s="1" t="s">
        <v>406</v>
      </c>
      <c r="U487" s="1" t="s">
        <v>1589</v>
      </c>
      <c r="V487" s="1" t="s">
        <v>910</v>
      </c>
    </row>
    <row r="488" spans="1:22" x14ac:dyDescent="0.2">
      <c r="A488">
        <v>167</v>
      </c>
      <c r="B488" t="s">
        <v>351</v>
      </c>
      <c r="C488" t="s">
        <v>319</v>
      </c>
      <c r="D488" t="s">
        <v>1591</v>
      </c>
      <c r="E488" t="s">
        <v>1569</v>
      </c>
      <c r="F488">
        <v>150</v>
      </c>
      <c r="G488" t="s">
        <v>21</v>
      </c>
      <c r="H488" t="s">
        <v>423</v>
      </c>
      <c r="I488" t="s">
        <v>404</v>
      </c>
      <c r="J488" t="s">
        <v>580</v>
      </c>
      <c r="K488">
        <v>0.61650000000000005</v>
      </c>
      <c r="L488" s="1" t="s">
        <v>907</v>
      </c>
      <c r="M488" t="s">
        <v>908</v>
      </c>
      <c r="N488" s="1" t="s">
        <v>924</v>
      </c>
      <c r="O488">
        <v>0.61650000000000005</v>
      </c>
      <c r="P488" t="s">
        <v>423</v>
      </c>
      <c r="Q488" t="s">
        <v>634</v>
      </c>
      <c r="R488" s="1" t="s">
        <v>567</v>
      </c>
      <c r="S488" s="1" t="s">
        <v>406</v>
      </c>
      <c r="T488" s="1" t="s">
        <v>406</v>
      </c>
      <c r="U488" s="1" t="s">
        <v>1589</v>
      </c>
      <c r="V488" s="1" t="s">
        <v>910</v>
      </c>
    </row>
    <row r="489" spans="1:22" x14ac:dyDescent="0.2">
      <c r="A489">
        <v>167</v>
      </c>
      <c r="B489" t="s">
        <v>351</v>
      </c>
      <c r="C489" t="s">
        <v>319</v>
      </c>
      <c r="D489" t="s">
        <v>1591</v>
      </c>
      <c r="E489" t="s">
        <v>1569</v>
      </c>
      <c r="F489">
        <v>150</v>
      </c>
      <c r="G489" t="s">
        <v>22</v>
      </c>
      <c r="H489" t="s">
        <v>423</v>
      </c>
      <c r="I489" t="s">
        <v>404</v>
      </c>
      <c r="J489" t="s">
        <v>580</v>
      </c>
      <c r="K489">
        <v>17.25</v>
      </c>
      <c r="L489" s="1" t="s">
        <v>907</v>
      </c>
      <c r="M489" t="s">
        <v>908</v>
      </c>
      <c r="N489" s="1" t="s">
        <v>925</v>
      </c>
      <c r="O489">
        <v>17.25</v>
      </c>
      <c r="P489" t="s">
        <v>423</v>
      </c>
      <c r="Q489" t="s">
        <v>634</v>
      </c>
      <c r="R489" s="1" t="s">
        <v>567</v>
      </c>
      <c r="S489" s="1" t="s">
        <v>406</v>
      </c>
      <c r="T489" s="1" t="s">
        <v>406</v>
      </c>
      <c r="U489" s="1" t="s">
        <v>1589</v>
      </c>
      <c r="V489" s="1" t="s">
        <v>910</v>
      </c>
    </row>
    <row r="490" spans="1:22" x14ac:dyDescent="0.2">
      <c r="A490">
        <v>167</v>
      </c>
      <c r="B490" t="s">
        <v>351</v>
      </c>
      <c r="C490" t="s">
        <v>319</v>
      </c>
      <c r="D490" t="s">
        <v>1591</v>
      </c>
      <c r="E490" t="s">
        <v>1569</v>
      </c>
      <c r="F490">
        <v>150</v>
      </c>
      <c r="G490" t="s">
        <v>23</v>
      </c>
      <c r="H490" t="s">
        <v>423</v>
      </c>
      <c r="I490" t="s">
        <v>404</v>
      </c>
      <c r="J490" t="s">
        <v>580</v>
      </c>
      <c r="K490">
        <v>27.15</v>
      </c>
      <c r="L490" s="1" t="s">
        <v>907</v>
      </c>
      <c r="M490" t="s">
        <v>908</v>
      </c>
      <c r="N490" s="1" t="s">
        <v>926</v>
      </c>
      <c r="O490">
        <v>27.15</v>
      </c>
      <c r="P490" t="s">
        <v>423</v>
      </c>
      <c r="Q490" t="s">
        <v>634</v>
      </c>
      <c r="R490" s="1" t="s">
        <v>567</v>
      </c>
      <c r="S490" s="1" t="s">
        <v>406</v>
      </c>
      <c r="T490" s="1" t="s">
        <v>406</v>
      </c>
      <c r="U490" s="1" t="s">
        <v>1589</v>
      </c>
      <c r="V490" s="1" t="s">
        <v>910</v>
      </c>
    </row>
    <row r="491" spans="1:22" x14ac:dyDescent="0.2">
      <c r="A491">
        <v>167</v>
      </c>
      <c r="B491" t="s">
        <v>351</v>
      </c>
      <c r="C491" t="s">
        <v>319</v>
      </c>
      <c r="D491" t="s">
        <v>1591</v>
      </c>
      <c r="E491" t="s">
        <v>1569</v>
      </c>
      <c r="F491">
        <v>150</v>
      </c>
      <c r="G491" t="s">
        <v>24</v>
      </c>
      <c r="H491" t="s">
        <v>423</v>
      </c>
      <c r="I491" t="s">
        <v>404</v>
      </c>
      <c r="J491" t="s">
        <v>580</v>
      </c>
      <c r="K491">
        <v>280.7</v>
      </c>
      <c r="L491" s="1" t="s">
        <v>907</v>
      </c>
      <c r="M491" t="s">
        <v>908</v>
      </c>
      <c r="N491" s="1" t="s">
        <v>927</v>
      </c>
      <c r="O491">
        <v>280.7</v>
      </c>
      <c r="P491" t="s">
        <v>423</v>
      </c>
      <c r="Q491" t="s">
        <v>634</v>
      </c>
      <c r="R491" s="1" t="s">
        <v>567</v>
      </c>
      <c r="S491" s="1" t="s">
        <v>406</v>
      </c>
      <c r="T491" s="1" t="s">
        <v>406</v>
      </c>
      <c r="U491" s="1" t="s">
        <v>1589</v>
      </c>
      <c r="V491" s="1" t="s">
        <v>910</v>
      </c>
    </row>
    <row r="492" spans="1:22" x14ac:dyDescent="0.2">
      <c r="A492">
        <v>167</v>
      </c>
      <c r="B492" t="s">
        <v>351</v>
      </c>
      <c r="C492" t="s">
        <v>319</v>
      </c>
      <c r="D492" t="s">
        <v>1591</v>
      </c>
      <c r="E492" t="s">
        <v>1569</v>
      </c>
      <c r="F492">
        <v>150</v>
      </c>
      <c r="G492" t="s">
        <v>25</v>
      </c>
      <c r="H492" t="s">
        <v>423</v>
      </c>
      <c r="I492" t="s">
        <v>404</v>
      </c>
      <c r="J492" t="s">
        <v>580</v>
      </c>
      <c r="K492">
        <v>0.09</v>
      </c>
      <c r="L492" s="1" t="s">
        <v>907</v>
      </c>
      <c r="M492" t="s">
        <v>908</v>
      </c>
      <c r="N492" s="1" t="s">
        <v>928</v>
      </c>
      <c r="O492">
        <v>0.09</v>
      </c>
      <c r="P492" t="s">
        <v>423</v>
      </c>
      <c r="Q492" t="s">
        <v>634</v>
      </c>
      <c r="R492" s="1" t="s">
        <v>567</v>
      </c>
      <c r="S492" s="1" t="s">
        <v>406</v>
      </c>
      <c r="T492" s="1" t="s">
        <v>406</v>
      </c>
      <c r="U492" s="1" t="s">
        <v>1589</v>
      </c>
      <c r="V492" s="1" t="s">
        <v>910</v>
      </c>
    </row>
    <row r="493" spans="1:22" x14ac:dyDescent="0.2">
      <c r="A493">
        <v>167</v>
      </c>
      <c r="B493" t="s">
        <v>351</v>
      </c>
      <c r="C493" t="s">
        <v>319</v>
      </c>
      <c r="D493" t="s">
        <v>1591</v>
      </c>
      <c r="E493" t="s">
        <v>1569</v>
      </c>
      <c r="F493">
        <v>150</v>
      </c>
      <c r="G493" t="s">
        <v>26</v>
      </c>
      <c r="H493" t="s">
        <v>496</v>
      </c>
      <c r="I493" t="s">
        <v>404</v>
      </c>
      <c r="J493" t="s">
        <v>580</v>
      </c>
      <c r="K493">
        <v>100</v>
      </c>
      <c r="L493" s="1" t="s">
        <v>907</v>
      </c>
      <c r="M493" t="s">
        <v>908</v>
      </c>
      <c r="N493" s="1" t="s">
        <v>929</v>
      </c>
      <c r="O493">
        <v>100</v>
      </c>
      <c r="P493" t="s">
        <v>496</v>
      </c>
      <c r="Q493" t="s">
        <v>634</v>
      </c>
      <c r="R493" s="1" t="s">
        <v>567</v>
      </c>
      <c r="S493" s="1" t="s">
        <v>406</v>
      </c>
      <c r="T493" s="1" t="s">
        <v>406</v>
      </c>
      <c r="U493" s="1" t="s">
        <v>1589</v>
      </c>
      <c r="V493" s="1" t="s">
        <v>910</v>
      </c>
    </row>
    <row r="494" spans="1:22" x14ac:dyDescent="0.2">
      <c r="A494">
        <v>171</v>
      </c>
      <c r="B494" t="s">
        <v>359</v>
      </c>
      <c r="C494" t="s">
        <v>319</v>
      </c>
      <c r="D494" t="s">
        <v>477</v>
      </c>
      <c r="E494" t="s">
        <v>930</v>
      </c>
      <c r="F494">
        <v>279</v>
      </c>
      <c r="G494" t="s">
        <v>6</v>
      </c>
      <c r="H494" t="s">
        <v>493</v>
      </c>
      <c r="I494" t="s">
        <v>404</v>
      </c>
      <c r="J494" t="s">
        <v>580</v>
      </c>
      <c r="K494">
        <v>290.8</v>
      </c>
      <c r="L494" s="1" t="s">
        <v>931</v>
      </c>
      <c r="M494" t="s">
        <v>932</v>
      </c>
      <c r="N494" s="1" t="s">
        <v>933</v>
      </c>
      <c r="O494">
        <v>290.8</v>
      </c>
      <c r="P494" t="s">
        <v>493</v>
      </c>
      <c r="Q494" t="s">
        <v>634</v>
      </c>
      <c r="R494" s="1" t="s">
        <v>465</v>
      </c>
      <c r="S494" s="1" t="s">
        <v>406</v>
      </c>
      <c r="T494" s="1" t="s">
        <v>406</v>
      </c>
      <c r="U494" s="1" t="s">
        <v>789</v>
      </c>
      <c r="V494" s="1" t="s">
        <v>790</v>
      </c>
    </row>
    <row r="495" spans="1:22" x14ac:dyDescent="0.2">
      <c r="A495">
        <v>171</v>
      </c>
      <c r="B495" t="s">
        <v>359</v>
      </c>
      <c r="C495" t="s">
        <v>319</v>
      </c>
      <c r="D495" t="s">
        <v>477</v>
      </c>
      <c r="E495" t="s">
        <v>930</v>
      </c>
      <c r="F495">
        <v>279</v>
      </c>
      <c r="G495" t="s">
        <v>7</v>
      </c>
      <c r="H495" t="s">
        <v>415</v>
      </c>
      <c r="I495" t="s">
        <v>404</v>
      </c>
      <c r="J495" t="s">
        <v>580</v>
      </c>
      <c r="K495">
        <v>18.571999999999999</v>
      </c>
      <c r="L495" s="1" t="s">
        <v>931</v>
      </c>
      <c r="M495" t="s">
        <v>932</v>
      </c>
      <c r="N495" s="1" t="s">
        <v>934</v>
      </c>
      <c r="O495">
        <v>18.571999999999999</v>
      </c>
      <c r="P495" t="s">
        <v>415</v>
      </c>
      <c r="Q495" t="s">
        <v>634</v>
      </c>
      <c r="R495" s="1" t="s">
        <v>465</v>
      </c>
      <c r="S495" s="1" t="s">
        <v>406</v>
      </c>
      <c r="T495" s="1" t="s">
        <v>406</v>
      </c>
      <c r="U495" s="1" t="s">
        <v>789</v>
      </c>
      <c r="V495" s="1" t="s">
        <v>790</v>
      </c>
    </row>
    <row r="496" spans="1:22" x14ac:dyDescent="0.2">
      <c r="A496">
        <v>171</v>
      </c>
      <c r="B496" t="s">
        <v>359</v>
      </c>
      <c r="C496" t="s">
        <v>319</v>
      </c>
      <c r="D496" t="s">
        <v>477</v>
      </c>
      <c r="E496" t="s">
        <v>930</v>
      </c>
      <c r="F496">
        <v>279</v>
      </c>
      <c r="G496" t="s">
        <v>8</v>
      </c>
      <c r="H496" t="s">
        <v>415</v>
      </c>
      <c r="I496" t="s">
        <v>404</v>
      </c>
      <c r="J496" t="s">
        <v>580</v>
      </c>
      <c r="K496">
        <v>22.143999999999998</v>
      </c>
      <c r="L496" s="1" t="s">
        <v>931</v>
      </c>
      <c r="M496" t="s">
        <v>932</v>
      </c>
      <c r="N496" s="1" t="s">
        <v>935</v>
      </c>
      <c r="O496">
        <v>22.143999999999998</v>
      </c>
      <c r="P496" t="s">
        <v>415</v>
      </c>
      <c r="Q496" t="s">
        <v>634</v>
      </c>
      <c r="R496" s="1" t="s">
        <v>465</v>
      </c>
      <c r="S496" s="1" t="s">
        <v>406</v>
      </c>
      <c r="T496" s="1" t="s">
        <v>406</v>
      </c>
      <c r="U496" s="1" t="s">
        <v>789</v>
      </c>
      <c r="V496" s="1" t="s">
        <v>790</v>
      </c>
    </row>
    <row r="497" spans="1:22" ht="16" customHeight="1" x14ac:dyDescent="0.2">
      <c r="A497">
        <v>171</v>
      </c>
      <c r="B497" t="s">
        <v>359</v>
      </c>
      <c r="C497" t="s">
        <v>319</v>
      </c>
      <c r="D497" t="s">
        <v>477</v>
      </c>
      <c r="E497" t="s">
        <v>930</v>
      </c>
      <c r="F497">
        <v>279</v>
      </c>
      <c r="G497" t="s">
        <v>9</v>
      </c>
      <c r="H497" t="s">
        <v>415</v>
      </c>
      <c r="I497" t="s">
        <v>404</v>
      </c>
      <c r="J497" t="s">
        <v>405</v>
      </c>
      <c r="K497">
        <v>0</v>
      </c>
      <c r="L497" s="11" t="s">
        <v>406</v>
      </c>
      <c r="M497" t="s">
        <v>416</v>
      </c>
      <c r="N497" s="11" t="s">
        <v>417</v>
      </c>
      <c r="O497" t="s">
        <v>418</v>
      </c>
      <c r="P497" t="s">
        <v>415</v>
      </c>
      <c r="Q497">
        <v>1</v>
      </c>
      <c r="R497" s="11" t="s">
        <v>406</v>
      </c>
      <c r="S497" s="11" t="s">
        <v>406</v>
      </c>
      <c r="T497" s="11" t="s">
        <v>406</v>
      </c>
      <c r="U497" s="11" t="s">
        <v>419</v>
      </c>
      <c r="V497" s="11" t="s">
        <v>420</v>
      </c>
    </row>
    <row r="498" spans="1:22" x14ac:dyDescent="0.2">
      <c r="A498">
        <v>171</v>
      </c>
      <c r="B498" t="s">
        <v>359</v>
      </c>
      <c r="C498" t="s">
        <v>319</v>
      </c>
      <c r="D498" t="s">
        <v>477</v>
      </c>
      <c r="E498" t="s">
        <v>930</v>
      </c>
      <c r="F498">
        <v>279</v>
      </c>
      <c r="G498" t="s">
        <v>10</v>
      </c>
      <c r="H498" t="s">
        <v>415</v>
      </c>
      <c r="I498" t="s">
        <v>404</v>
      </c>
      <c r="J498" t="s">
        <v>580</v>
      </c>
      <c r="K498">
        <v>4.3079999999999998</v>
      </c>
      <c r="L498" s="1" t="s">
        <v>931</v>
      </c>
      <c r="M498" t="s">
        <v>932</v>
      </c>
      <c r="N498" s="1" t="s">
        <v>936</v>
      </c>
      <c r="O498">
        <v>4.3079999999999998</v>
      </c>
      <c r="P498" t="s">
        <v>415</v>
      </c>
      <c r="Q498" t="s">
        <v>634</v>
      </c>
      <c r="R498" s="1" t="s">
        <v>465</v>
      </c>
      <c r="S498" s="1" t="s">
        <v>406</v>
      </c>
      <c r="T498" s="1" t="s">
        <v>406</v>
      </c>
      <c r="U498" s="1" t="s">
        <v>789</v>
      </c>
      <c r="V498" s="1" t="s">
        <v>790</v>
      </c>
    </row>
    <row r="499" spans="1:22" x14ac:dyDescent="0.2">
      <c r="A499">
        <v>171</v>
      </c>
      <c r="B499" t="s">
        <v>359</v>
      </c>
      <c r="C499" t="s">
        <v>319</v>
      </c>
      <c r="D499" t="s">
        <v>477</v>
      </c>
      <c r="E499" t="s">
        <v>930</v>
      </c>
      <c r="F499">
        <v>279</v>
      </c>
      <c r="G499" t="s">
        <v>11</v>
      </c>
      <c r="H499" t="s">
        <v>415</v>
      </c>
      <c r="I499" t="s">
        <v>404</v>
      </c>
      <c r="J499" t="s">
        <v>580</v>
      </c>
      <c r="K499">
        <v>0.6</v>
      </c>
      <c r="L499" s="1" t="s">
        <v>931</v>
      </c>
      <c r="M499" t="s">
        <v>932</v>
      </c>
      <c r="N499" s="1" t="s">
        <v>937</v>
      </c>
      <c r="O499">
        <v>0.6</v>
      </c>
      <c r="P499" t="s">
        <v>415</v>
      </c>
      <c r="Q499" t="s">
        <v>634</v>
      </c>
      <c r="R499" s="1" t="s">
        <v>465</v>
      </c>
      <c r="S499" s="1" t="s">
        <v>406</v>
      </c>
      <c r="T499" s="1" t="s">
        <v>406</v>
      </c>
      <c r="U499" s="1" t="s">
        <v>789</v>
      </c>
      <c r="V499" s="1" t="s">
        <v>790</v>
      </c>
    </row>
    <row r="500" spans="1:22" x14ac:dyDescent="0.2">
      <c r="A500">
        <v>171</v>
      </c>
      <c r="B500" t="s">
        <v>359</v>
      </c>
      <c r="C500" t="s">
        <v>319</v>
      </c>
      <c r="D500" t="s">
        <v>477</v>
      </c>
      <c r="E500" t="s">
        <v>930</v>
      </c>
      <c r="F500">
        <v>279</v>
      </c>
      <c r="G500" t="s">
        <v>12</v>
      </c>
      <c r="H500" t="s">
        <v>415</v>
      </c>
      <c r="I500" t="s">
        <v>404</v>
      </c>
      <c r="J500" t="s">
        <v>580</v>
      </c>
      <c r="K500">
        <v>3.1579999999999999</v>
      </c>
      <c r="L500" s="1" t="s">
        <v>931</v>
      </c>
      <c r="M500" t="s">
        <v>932</v>
      </c>
      <c r="N500" s="1" t="s">
        <v>938</v>
      </c>
      <c r="O500">
        <v>3.1579999999999999</v>
      </c>
      <c r="P500" t="s">
        <v>415</v>
      </c>
      <c r="Q500" t="s">
        <v>634</v>
      </c>
      <c r="R500" s="1" t="s">
        <v>465</v>
      </c>
      <c r="S500" s="1" t="s">
        <v>406</v>
      </c>
      <c r="T500" s="1" t="s">
        <v>406</v>
      </c>
      <c r="U500" s="1" t="s">
        <v>789</v>
      </c>
      <c r="V500" s="1" t="s">
        <v>790</v>
      </c>
    </row>
    <row r="501" spans="1:22" x14ac:dyDescent="0.2">
      <c r="A501">
        <v>171</v>
      </c>
      <c r="B501" t="s">
        <v>359</v>
      </c>
      <c r="C501" t="s">
        <v>319</v>
      </c>
      <c r="D501" t="s">
        <v>477</v>
      </c>
      <c r="E501" t="s">
        <v>930</v>
      </c>
      <c r="F501">
        <v>279</v>
      </c>
      <c r="G501" t="s">
        <v>13</v>
      </c>
      <c r="H501" t="s">
        <v>403</v>
      </c>
      <c r="I501" t="s">
        <v>404</v>
      </c>
      <c r="J501" t="s">
        <v>580</v>
      </c>
      <c r="K501">
        <v>244.6</v>
      </c>
      <c r="L501" s="1" t="s">
        <v>931</v>
      </c>
      <c r="M501" t="s">
        <v>932</v>
      </c>
      <c r="N501" s="1" t="s">
        <v>939</v>
      </c>
      <c r="O501">
        <v>244.6</v>
      </c>
      <c r="P501" t="s">
        <v>403</v>
      </c>
      <c r="Q501" t="s">
        <v>634</v>
      </c>
      <c r="R501" s="1" t="s">
        <v>465</v>
      </c>
      <c r="S501" s="1" t="s">
        <v>406</v>
      </c>
      <c r="T501" s="1" t="s">
        <v>406</v>
      </c>
      <c r="U501" s="1" t="s">
        <v>789</v>
      </c>
      <c r="V501" s="1" t="s">
        <v>790</v>
      </c>
    </row>
    <row r="502" spans="1:22" x14ac:dyDescent="0.2">
      <c r="A502">
        <v>171</v>
      </c>
      <c r="B502" t="s">
        <v>359</v>
      </c>
      <c r="C502" t="s">
        <v>319</v>
      </c>
      <c r="D502" t="s">
        <v>477</v>
      </c>
      <c r="E502" t="s">
        <v>930</v>
      </c>
      <c r="F502">
        <v>279</v>
      </c>
      <c r="G502" t="s">
        <v>14</v>
      </c>
      <c r="H502" t="s">
        <v>403</v>
      </c>
      <c r="I502" t="s">
        <v>404</v>
      </c>
      <c r="J502" t="s">
        <v>580</v>
      </c>
      <c r="K502">
        <v>10.4</v>
      </c>
      <c r="L502" s="1" t="s">
        <v>931</v>
      </c>
      <c r="M502" t="s">
        <v>932</v>
      </c>
      <c r="N502" s="1" t="s">
        <v>940</v>
      </c>
      <c r="O502">
        <v>10.4</v>
      </c>
      <c r="P502" t="s">
        <v>403</v>
      </c>
      <c r="Q502" t="s">
        <v>634</v>
      </c>
      <c r="R502" s="1" t="s">
        <v>465</v>
      </c>
      <c r="S502" s="1" t="s">
        <v>406</v>
      </c>
      <c r="T502" s="1" t="s">
        <v>406</v>
      </c>
      <c r="U502" s="1" t="s">
        <v>789</v>
      </c>
      <c r="V502" s="1" t="s">
        <v>790</v>
      </c>
    </row>
    <row r="503" spans="1:22" x14ac:dyDescent="0.2">
      <c r="A503">
        <v>171</v>
      </c>
      <c r="B503" t="s">
        <v>359</v>
      </c>
      <c r="C503" t="s">
        <v>319</v>
      </c>
      <c r="D503" t="s">
        <v>477</v>
      </c>
      <c r="E503" t="s">
        <v>930</v>
      </c>
      <c r="F503">
        <v>279</v>
      </c>
      <c r="G503" t="s">
        <v>15</v>
      </c>
      <c r="H503" t="s">
        <v>423</v>
      </c>
      <c r="I503" t="s">
        <v>404</v>
      </c>
      <c r="J503" t="s">
        <v>580</v>
      </c>
      <c r="K503">
        <v>0.1072</v>
      </c>
      <c r="L503" s="1" t="s">
        <v>931</v>
      </c>
      <c r="M503" t="s">
        <v>932</v>
      </c>
      <c r="N503" s="1" t="s">
        <v>941</v>
      </c>
      <c r="O503">
        <v>0.1072</v>
      </c>
      <c r="P503" t="s">
        <v>423</v>
      </c>
      <c r="Q503" t="s">
        <v>634</v>
      </c>
      <c r="R503" s="1" t="s">
        <v>465</v>
      </c>
      <c r="S503" s="1" t="s">
        <v>406</v>
      </c>
      <c r="T503" s="1" t="s">
        <v>406</v>
      </c>
      <c r="U503" s="1" t="s">
        <v>789</v>
      </c>
      <c r="V503" s="1" t="s">
        <v>790</v>
      </c>
    </row>
    <row r="504" spans="1:22" x14ac:dyDescent="0.2">
      <c r="A504">
        <v>171</v>
      </c>
      <c r="B504" t="s">
        <v>359</v>
      </c>
      <c r="C504" t="s">
        <v>319</v>
      </c>
      <c r="D504" t="s">
        <v>477</v>
      </c>
      <c r="E504" t="s">
        <v>930</v>
      </c>
      <c r="F504">
        <v>279</v>
      </c>
      <c r="G504" t="s">
        <v>16</v>
      </c>
      <c r="H504" t="s">
        <v>423</v>
      </c>
      <c r="I504" t="s">
        <v>404</v>
      </c>
      <c r="J504" t="s">
        <v>580</v>
      </c>
      <c r="K504">
        <v>0.31700000000000012</v>
      </c>
      <c r="L504" s="1" t="s">
        <v>931</v>
      </c>
      <c r="M504" t="s">
        <v>932</v>
      </c>
      <c r="N504" s="1" t="s">
        <v>942</v>
      </c>
      <c r="O504">
        <v>0.31700000000000012</v>
      </c>
      <c r="P504" t="s">
        <v>423</v>
      </c>
      <c r="Q504" t="s">
        <v>634</v>
      </c>
      <c r="R504" s="1" t="s">
        <v>465</v>
      </c>
      <c r="S504" s="1" t="s">
        <v>406</v>
      </c>
      <c r="T504" s="1" t="s">
        <v>406</v>
      </c>
      <c r="U504" s="1" t="s">
        <v>789</v>
      </c>
      <c r="V504" s="1" t="s">
        <v>790</v>
      </c>
    </row>
    <row r="505" spans="1:22" x14ac:dyDescent="0.2">
      <c r="A505">
        <v>171</v>
      </c>
      <c r="B505" t="s">
        <v>359</v>
      </c>
      <c r="C505" t="s">
        <v>319</v>
      </c>
      <c r="D505" t="s">
        <v>477</v>
      </c>
      <c r="E505" t="s">
        <v>930</v>
      </c>
      <c r="F505">
        <v>279</v>
      </c>
      <c r="G505" t="s">
        <v>17</v>
      </c>
      <c r="H505" t="s">
        <v>423</v>
      </c>
      <c r="I505" t="s">
        <v>404</v>
      </c>
      <c r="J505" t="s">
        <v>580</v>
      </c>
      <c r="K505">
        <v>4.8472</v>
      </c>
      <c r="L505" s="1" t="s">
        <v>931</v>
      </c>
      <c r="M505" t="s">
        <v>932</v>
      </c>
      <c r="N505" s="1" t="s">
        <v>943</v>
      </c>
      <c r="O505">
        <v>4.8472</v>
      </c>
      <c r="P505" t="s">
        <v>423</v>
      </c>
      <c r="Q505" t="s">
        <v>634</v>
      </c>
      <c r="R505" s="1" t="s">
        <v>465</v>
      </c>
      <c r="S505" s="1" t="s">
        <v>406</v>
      </c>
      <c r="T505" s="1" t="s">
        <v>406</v>
      </c>
      <c r="U505" s="1" t="s">
        <v>789</v>
      </c>
      <c r="V505" s="1" t="s">
        <v>790</v>
      </c>
    </row>
    <row r="506" spans="1:22" x14ac:dyDescent="0.2">
      <c r="A506">
        <v>171</v>
      </c>
      <c r="B506" t="s">
        <v>359</v>
      </c>
      <c r="C506" t="s">
        <v>319</v>
      </c>
      <c r="D506" t="s">
        <v>477</v>
      </c>
      <c r="E506" t="s">
        <v>930</v>
      </c>
      <c r="F506">
        <v>279</v>
      </c>
      <c r="G506" t="s">
        <v>18</v>
      </c>
      <c r="H506" t="s">
        <v>423</v>
      </c>
      <c r="I506" t="s">
        <v>404</v>
      </c>
      <c r="J506" t="s">
        <v>580</v>
      </c>
      <c r="K506">
        <v>0</v>
      </c>
      <c r="L506" s="1" t="s">
        <v>931</v>
      </c>
      <c r="M506" t="s">
        <v>932</v>
      </c>
      <c r="N506" s="1" t="s">
        <v>944</v>
      </c>
      <c r="O506">
        <v>0</v>
      </c>
      <c r="P506" t="s">
        <v>423</v>
      </c>
      <c r="Q506" t="s">
        <v>634</v>
      </c>
      <c r="R506" s="1" t="s">
        <v>465</v>
      </c>
      <c r="S506" s="1" t="s">
        <v>406</v>
      </c>
      <c r="T506" s="1" t="s">
        <v>406</v>
      </c>
      <c r="U506" s="1" t="s">
        <v>789</v>
      </c>
      <c r="V506" s="1" t="s">
        <v>790</v>
      </c>
    </row>
    <row r="507" spans="1:22" x14ac:dyDescent="0.2">
      <c r="A507">
        <v>171</v>
      </c>
      <c r="B507" t="s">
        <v>359</v>
      </c>
      <c r="C507" t="s">
        <v>319</v>
      </c>
      <c r="D507" t="s">
        <v>477</v>
      </c>
      <c r="E507" t="s">
        <v>930</v>
      </c>
      <c r="F507">
        <v>279</v>
      </c>
      <c r="G507" t="s">
        <v>19</v>
      </c>
      <c r="H507" t="s">
        <v>423</v>
      </c>
      <c r="I507" t="s">
        <v>404</v>
      </c>
      <c r="J507" t="s">
        <v>580</v>
      </c>
      <c r="K507">
        <v>22.2</v>
      </c>
      <c r="L507" s="1" t="s">
        <v>931</v>
      </c>
      <c r="M507" t="s">
        <v>932</v>
      </c>
      <c r="N507" s="1" t="s">
        <v>945</v>
      </c>
      <c r="O507">
        <v>22.2</v>
      </c>
      <c r="P507" t="s">
        <v>423</v>
      </c>
      <c r="Q507" t="s">
        <v>634</v>
      </c>
      <c r="R507" s="1" t="s">
        <v>465</v>
      </c>
      <c r="S507" s="1" t="s">
        <v>406</v>
      </c>
      <c r="T507" s="1" t="s">
        <v>406</v>
      </c>
      <c r="U507" s="1" t="s">
        <v>789</v>
      </c>
      <c r="V507" s="1" t="s">
        <v>790</v>
      </c>
    </row>
    <row r="508" spans="1:22" x14ac:dyDescent="0.2">
      <c r="A508">
        <v>171</v>
      </c>
      <c r="B508" t="s">
        <v>359</v>
      </c>
      <c r="C508" t="s">
        <v>319</v>
      </c>
      <c r="D508" t="s">
        <v>477</v>
      </c>
      <c r="E508" t="s">
        <v>930</v>
      </c>
      <c r="F508">
        <v>279</v>
      </c>
      <c r="G508" t="s">
        <v>20</v>
      </c>
      <c r="H508" t="s">
        <v>423</v>
      </c>
      <c r="I508" t="s">
        <v>404</v>
      </c>
      <c r="J508" t="s">
        <v>580</v>
      </c>
      <c r="K508">
        <v>0.1038</v>
      </c>
      <c r="L508" s="1" t="s">
        <v>931</v>
      </c>
      <c r="M508" t="s">
        <v>932</v>
      </c>
      <c r="N508" s="1" t="s">
        <v>946</v>
      </c>
      <c r="O508">
        <v>0.1038</v>
      </c>
      <c r="P508" t="s">
        <v>423</v>
      </c>
      <c r="Q508" t="s">
        <v>634</v>
      </c>
      <c r="R508" s="1" t="s">
        <v>465</v>
      </c>
      <c r="S508" s="1" t="s">
        <v>406</v>
      </c>
      <c r="T508" s="1" t="s">
        <v>406</v>
      </c>
      <c r="U508" s="1" t="s">
        <v>789</v>
      </c>
      <c r="V508" s="1" t="s">
        <v>790</v>
      </c>
    </row>
    <row r="509" spans="1:22" x14ac:dyDescent="0.2">
      <c r="A509">
        <v>171</v>
      </c>
      <c r="B509" t="s">
        <v>359</v>
      </c>
      <c r="C509" t="s">
        <v>319</v>
      </c>
      <c r="D509" t="s">
        <v>477</v>
      </c>
      <c r="E509" t="s">
        <v>930</v>
      </c>
      <c r="F509">
        <v>279</v>
      </c>
      <c r="G509" t="s">
        <v>21</v>
      </c>
      <c r="H509" t="s">
        <v>423</v>
      </c>
      <c r="I509" t="s">
        <v>404</v>
      </c>
      <c r="J509" t="s">
        <v>580</v>
      </c>
      <c r="K509">
        <v>3.1059999999999999</v>
      </c>
      <c r="L509" s="1" t="s">
        <v>931</v>
      </c>
      <c r="M509" t="s">
        <v>932</v>
      </c>
      <c r="N509" s="1" t="s">
        <v>947</v>
      </c>
      <c r="O509">
        <v>3.1059999999999999</v>
      </c>
      <c r="P509" t="s">
        <v>423</v>
      </c>
      <c r="Q509" t="s">
        <v>634</v>
      </c>
      <c r="R509" s="1" t="s">
        <v>465</v>
      </c>
      <c r="S509" s="1" t="s">
        <v>406</v>
      </c>
      <c r="T509" s="1" t="s">
        <v>406</v>
      </c>
      <c r="U509" s="1" t="s">
        <v>789</v>
      </c>
      <c r="V509" s="1" t="s">
        <v>790</v>
      </c>
    </row>
    <row r="510" spans="1:22" x14ac:dyDescent="0.2">
      <c r="A510">
        <v>171</v>
      </c>
      <c r="B510" t="s">
        <v>359</v>
      </c>
      <c r="C510" t="s">
        <v>319</v>
      </c>
      <c r="D510" t="s">
        <v>477</v>
      </c>
      <c r="E510" t="s">
        <v>930</v>
      </c>
      <c r="F510">
        <v>279</v>
      </c>
      <c r="G510" t="s">
        <v>22</v>
      </c>
      <c r="H510" t="s">
        <v>423</v>
      </c>
      <c r="I510" t="s">
        <v>404</v>
      </c>
      <c r="J510" t="s">
        <v>580</v>
      </c>
      <c r="K510">
        <v>178.8</v>
      </c>
      <c r="L510" s="1" t="s">
        <v>931</v>
      </c>
      <c r="M510" t="s">
        <v>932</v>
      </c>
      <c r="N510" s="1" t="s">
        <v>948</v>
      </c>
      <c r="O510">
        <v>178.8</v>
      </c>
      <c r="P510" t="s">
        <v>423</v>
      </c>
      <c r="Q510" t="s">
        <v>634</v>
      </c>
      <c r="R510" s="1" t="s">
        <v>465</v>
      </c>
      <c r="S510" s="1" t="s">
        <v>406</v>
      </c>
      <c r="T510" s="1" t="s">
        <v>406</v>
      </c>
      <c r="U510" s="1" t="s">
        <v>789</v>
      </c>
      <c r="V510" s="1" t="s">
        <v>790</v>
      </c>
    </row>
    <row r="511" spans="1:22" x14ac:dyDescent="0.2">
      <c r="A511">
        <v>171</v>
      </c>
      <c r="B511" t="s">
        <v>359</v>
      </c>
      <c r="C511" t="s">
        <v>319</v>
      </c>
      <c r="D511" t="s">
        <v>477</v>
      </c>
      <c r="E511" t="s">
        <v>930</v>
      </c>
      <c r="F511">
        <v>279</v>
      </c>
      <c r="G511" t="s">
        <v>23</v>
      </c>
      <c r="H511" t="s">
        <v>423</v>
      </c>
      <c r="I511" t="s">
        <v>404</v>
      </c>
      <c r="J511" t="s">
        <v>580</v>
      </c>
      <c r="K511">
        <v>260.82</v>
      </c>
      <c r="L511" s="1" t="s">
        <v>931</v>
      </c>
      <c r="M511" t="s">
        <v>932</v>
      </c>
      <c r="N511" s="1" t="s">
        <v>949</v>
      </c>
      <c r="O511">
        <v>260.82</v>
      </c>
      <c r="P511" t="s">
        <v>423</v>
      </c>
      <c r="Q511" t="s">
        <v>634</v>
      </c>
      <c r="R511" s="1" t="s">
        <v>465</v>
      </c>
      <c r="S511" s="1" t="s">
        <v>406</v>
      </c>
      <c r="T511" s="1" t="s">
        <v>406</v>
      </c>
      <c r="U511" s="1" t="s">
        <v>789</v>
      </c>
      <c r="V511" s="1" t="s">
        <v>790</v>
      </c>
    </row>
    <row r="512" spans="1:22" x14ac:dyDescent="0.2">
      <c r="A512">
        <v>171</v>
      </c>
      <c r="B512" t="s">
        <v>359</v>
      </c>
      <c r="C512" t="s">
        <v>319</v>
      </c>
      <c r="D512" t="s">
        <v>477</v>
      </c>
      <c r="E512" t="s">
        <v>930</v>
      </c>
      <c r="F512">
        <v>279</v>
      </c>
      <c r="G512" t="s">
        <v>24</v>
      </c>
      <c r="H512" t="s">
        <v>423</v>
      </c>
      <c r="I512" t="s">
        <v>404</v>
      </c>
      <c r="J512" t="s">
        <v>580</v>
      </c>
      <c r="K512">
        <v>874.19999999999993</v>
      </c>
      <c r="L512" s="1" t="s">
        <v>931</v>
      </c>
      <c r="M512" t="s">
        <v>932</v>
      </c>
      <c r="N512" s="1" t="s">
        <v>950</v>
      </c>
      <c r="O512">
        <v>874.19999999999993</v>
      </c>
      <c r="P512" t="s">
        <v>423</v>
      </c>
      <c r="Q512" t="s">
        <v>634</v>
      </c>
      <c r="R512" s="1" t="s">
        <v>465</v>
      </c>
      <c r="S512" s="1" t="s">
        <v>406</v>
      </c>
      <c r="T512" s="1" t="s">
        <v>406</v>
      </c>
      <c r="U512" s="1" t="s">
        <v>789</v>
      </c>
      <c r="V512" s="1" t="s">
        <v>790</v>
      </c>
    </row>
    <row r="513" spans="1:22" x14ac:dyDescent="0.2">
      <c r="A513">
        <v>171</v>
      </c>
      <c r="B513" t="s">
        <v>359</v>
      </c>
      <c r="C513" t="s">
        <v>319</v>
      </c>
      <c r="D513" t="s">
        <v>477</v>
      </c>
      <c r="E513" t="s">
        <v>930</v>
      </c>
      <c r="F513">
        <v>279</v>
      </c>
      <c r="G513" t="s">
        <v>25</v>
      </c>
      <c r="H513" t="s">
        <v>423</v>
      </c>
      <c r="I513" t="s">
        <v>404</v>
      </c>
      <c r="J513" t="s">
        <v>580</v>
      </c>
      <c r="K513">
        <v>2.75</v>
      </c>
      <c r="L513" s="1" t="s">
        <v>931</v>
      </c>
      <c r="M513" t="s">
        <v>932</v>
      </c>
      <c r="N513" s="1" t="s">
        <v>951</v>
      </c>
      <c r="O513">
        <v>2.75</v>
      </c>
      <c r="P513" t="s">
        <v>423</v>
      </c>
      <c r="Q513" t="s">
        <v>634</v>
      </c>
      <c r="R513" s="1" t="s">
        <v>465</v>
      </c>
      <c r="S513" s="1" t="s">
        <v>406</v>
      </c>
      <c r="T513" s="1" t="s">
        <v>406</v>
      </c>
      <c r="U513" s="1" t="s">
        <v>789</v>
      </c>
      <c r="V513" s="1" t="s">
        <v>790</v>
      </c>
    </row>
    <row r="514" spans="1:22" x14ac:dyDescent="0.2">
      <c r="A514">
        <v>171</v>
      </c>
      <c r="B514" t="s">
        <v>359</v>
      </c>
      <c r="C514" t="s">
        <v>319</v>
      </c>
      <c r="D514" t="s">
        <v>477</v>
      </c>
      <c r="E514" t="s">
        <v>930</v>
      </c>
      <c r="F514">
        <v>279</v>
      </c>
      <c r="G514" t="s">
        <v>26</v>
      </c>
      <c r="H514" t="s">
        <v>496</v>
      </c>
      <c r="I514" t="s">
        <v>404</v>
      </c>
      <c r="J514" t="s">
        <v>580</v>
      </c>
      <c r="K514">
        <v>100</v>
      </c>
      <c r="L514" s="1" t="s">
        <v>931</v>
      </c>
      <c r="M514" t="s">
        <v>932</v>
      </c>
      <c r="N514" s="1" t="s">
        <v>952</v>
      </c>
      <c r="O514">
        <v>100</v>
      </c>
      <c r="P514" t="s">
        <v>496</v>
      </c>
      <c r="Q514" t="s">
        <v>634</v>
      </c>
      <c r="R514" s="1" t="s">
        <v>465</v>
      </c>
      <c r="S514" s="1" t="s">
        <v>406</v>
      </c>
      <c r="T514" s="1" t="s">
        <v>406</v>
      </c>
      <c r="U514" s="1" t="s">
        <v>789</v>
      </c>
      <c r="V514" s="1" t="s">
        <v>811</v>
      </c>
    </row>
    <row r="515" spans="1:22" x14ac:dyDescent="0.2">
      <c r="A515">
        <v>172</v>
      </c>
      <c r="B515" t="s">
        <v>361</v>
      </c>
      <c r="C515" t="s">
        <v>319</v>
      </c>
      <c r="D515" t="s">
        <v>477</v>
      </c>
      <c r="E515" t="s">
        <v>953</v>
      </c>
      <c r="F515">
        <v>102</v>
      </c>
      <c r="G515" t="s">
        <v>6</v>
      </c>
      <c r="H515" t="s">
        <v>493</v>
      </c>
      <c r="I515" t="s">
        <v>404</v>
      </c>
      <c r="J515" t="s">
        <v>580</v>
      </c>
      <c r="K515">
        <v>103.08</v>
      </c>
      <c r="L515" s="1" t="s">
        <v>835</v>
      </c>
      <c r="M515" t="s">
        <v>954</v>
      </c>
      <c r="N515" s="1" t="s">
        <v>955</v>
      </c>
      <c r="O515">
        <v>103.08</v>
      </c>
      <c r="P515" t="s">
        <v>493</v>
      </c>
      <c r="Q515" t="s">
        <v>634</v>
      </c>
      <c r="R515" s="1" t="s">
        <v>465</v>
      </c>
      <c r="S515" s="1" t="s">
        <v>406</v>
      </c>
      <c r="T515" s="1" t="s">
        <v>406</v>
      </c>
      <c r="U515" s="1" t="s">
        <v>789</v>
      </c>
      <c r="V515" s="1" t="s">
        <v>790</v>
      </c>
    </row>
    <row r="516" spans="1:22" x14ac:dyDescent="0.2">
      <c r="A516">
        <v>172</v>
      </c>
      <c r="B516" t="s">
        <v>361</v>
      </c>
      <c r="C516" t="s">
        <v>319</v>
      </c>
      <c r="D516" t="s">
        <v>477</v>
      </c>
      <c r="E516" t="s">
        <v>953</v>
      </c>
      <c r="F516">
        <v>102</v>
      </c>
      <c r="G516" t="s">
        <v>7</v>
      </c>
      <c r="H516" t="s">
        <v>415</v>
      </c>
      <c r="I516" t="s">
        <v>404</v>
      </c>
      <c r="J516" t="s">
        <v>580</v>
      </c>
      <c r="K516">
        <v>2.71</v>
      </c>
      <c r="L516" s="1" t="s">
        <v>835</v>
      </c>
      <c r="M516" t="s">
        <v>954</v>
      </c>
      <c r="N516" s="1" t="s">
        <v>956</v>
      </c>
      <c r="O516">
        <v>2.71</v>
      </c>
      <c r="P516" t="s">
        <v>415</v>
      </c>
      <c r="Q516" t="s">
        <v>634</v>
      </c>
      <c r="R516" s="1" t="s">
        <v>465</v>
      </c>
      <c r="S516" s="1" t="s">
        <v>406</v>
      </c>
      <c r="T516" s="1" t="s">
        <v>406</v>
      </c>
      <c r="U516" s="1" t="s">
        <v>789</v>
      </c>
      <c r="V516" s="1" t="s">
        <v>790</v>
      </c>
    </row>
    <row r="517" spans="1:22" x14ac:dyDescent="0.2">
      <c r="A517">
        <v>172</v>
      </c>
      <c r="B517" t="s">
        <v>361</v>
      </c>
      <c r="C517" t="s">
        <v>319</v>
      </c>
      <c r="D517" t="s">
        <v>477</v>
      </c>
      <c r="E517" t="s">
        <v>953</v>
      </c>
      <c r="F517">
        <v>102</v>
      </c>
      <c r="G517" t="s">
        <v>8</v>
      </c>
      <c r="H517" t="s">
        <v>415</v>
      </c>
      <c r="I517" t="s">
        <v>404</v>
      </c>
      <c r="J517" t="s">
        <v>580</v>
      </c>
      <c r="K517">
        <v>4.4390000000000009</v>
      </c>
      <c r="L517" s="1" t="s">
        <v>835</v>
      </c>
      <c r="M517" t="s">
        <v>954</v>
      </c>
      <c r="N517" s="1" t="s">
        <v>957</v>
      </c>
      <c r="O517">
        <v>4.4390000000000009</v>
      </c>
      <c r="P517" t="s">
        <v>415</v>
      </c>
      <c r="Q517" t="s">
        <v>634</v>
      </c>
      <c r="R517" s="1" t="s">
        <v>465</v>
      </c>
      <c r="S517" s="1" t="s">
        <v>406</v>
      </c>
      <c r="T517" s="1" t="s">
        <v>406</v>
      </c>
      <c r="U517" s="1" t="s">
        <v>789</v>
      </c>
      <c r="V517" s="1" t="s">
        <v>790</v>
      </c>
    </row>
    <row r="518" spans="1:22" ht="16" customHeight="1" x14ac:dyDescent="0.2">
      <c r="A518">
        <v>172</v>
      </c>
      <c r="B518" t="s">
        <v>361</v>
      </c>
      <c r="C518" t="s">
        <v>319</v>
      </c>
      <c r="D518" t="s">
        <v>477</v>
      </c>
      <c r="E518" t="s">
        <v>953</v>
      </c>
      <c r="F518">
        <v>102</v>
      </c>
      <c r="G518" t="s">
        <v>9</v>
      </c>
      <c r="H518" t="s">
        <v>415</v>
      </c>
      <c r="I518" t="s">
        <v>404</v>
      </c>
      <c r="J518" t="s">
        <v>522</v>
      </c>
      <c r="K518">
        <v>0</v>
      </c>
      <c r="L518" s="11" t="s">
        <v>406</v>
      </c>
      <c r="M518" t="s">
        <v>416</v>
      </c>
      <c r="N518" s="11" t="s">
        <v>958</v>
      </c>
      <c r="O518" t="s">
        <v>418</v>
      </c>
      <c r="P518" t="s">
        <v>415</v>
      </c>
      <c r="Q518">
        <v>1</v>
      </c>
      <c r="R518" s="11" t="s">
        <v>406</v>
      </c>
      <c r="S518" s="11" t="s">
        <v>406</v>
      </c>
      <c r="T518" s="11" t="s">
        <v>406</v>
      </c>
      <c r="U518" s="11" t="s">
        <v>419</v>
      </c>
      <c r="V518" s="11" t="s">
        <v>959</v>
      </c>
    </row>
    <row r="519" spans="1:22" x14ac:dyDescent="0.2">
      <c r="A519">
        <v>172</v>
      </c>
      <c r="B519" t="s">
        <v>361</v>
      </c>
      <c r="C519" t="s">
        <v>319</v>
      </c>
      <c r="D519" t="s">
        <v>477</v>
      </c>
      <c r="E519" t="s">
        <v>953</v>
      </c>
      <c r="F519">
        <v>102</v>
      </c>
      <c r="G519" t="s">
        <v>10</v>
      </c>
      <c r="H519" t="s">
        <v>415</v>
      </c>
      <c r="I519" t="s">
        <v>404</v>
      </c>
      <c r="J519" t="s">
        <v>580</v>
      </c>
      <c r="K519">
        <v>13.172000000000001</v>
      </c>
      <c r="L519" s="1" t="s">
        <v>835</v>
      </c>
      <c r="M519" t="s">
        <v>954</v>
      </c>
      <c r="N519" s="1" t="s">
        <v>960</v>
      </c>
      <c r="O519">
        <v>13.172000000000001</v>
      </c>
      <c r="P519" t="s">
        <v>415</v>
      </c>
      <c r="Q519" t="s">
        <v>634</v>
      </c>
      <c r="R519" s="1" t="s">
        <v>465</v>
      </c>
      <c r="S519" s="1" t="s">
        <v>406</v>
      </c>
      <c r="T519" s="1" t="s">
        <v>406</v>
      </c>
      <c r="U519" s="1" t="s">
        <v>789</v>
      </c>
      <c r="V519" s="1" t="s">
        <v>790</v>
      </c>
    </row>
    <row r="520" spans="1:22" x14ac:dyDescent="0.2">
      <c r="A520">
        <v>172</v>
      </c>
      <c r="B520" t="s">
        <v>361</v>
      </c>
      <c r="C520" t="s">
        <v>319</v>
      </c>
      <c r="D520" t="s">
        <v>477</v>
      </c>
      <c r="E520" t="s">
        <v>953</v>
      </c>
      <c r="F520">
        <v>102</v>
      </c>
      <c r="G520" t="s">
        <v>11</v>
      </c>
      <c r="H520" t="s">
        <v>415</v>
      </c>
      <c r="I520" t="s">
        <v>404</v>
      </c>
      <c r="J520" t="s">
        <v>580</v>
      </c>
      <c r="K520">
        <v>0.27</v>
      </c>
      <c r="L520" s="1" t="s">
        <v>835</v>
      </c>
      <c r="M520" t="s">
        <v>954</v>
      </c>
      <c r="N520" s="1" t="s">
        <v>961</v>
      </c>
      <c r="O520">
        <v>0.27</v>
      </c>
      <c r="P520" t="s">
        <v>415</v>
      </c>
      <c r="Q520" t="s">
        <v>634</v>
      </c>
      <c r="R520" s="1" t="s">
        <v>465</v>
      </c>
      <c r="S520" s="1" t="s">
        <v>406</v>
      </c>
      <c r="T520" s="1" t="s">
        <v>406</v>
      </c>
      <c r="U520" s="1" t="s">
        <v>789</v>
      </c>
      <c r="V520" s="1" t="s">
        <v>790</v>
      </c>
    </row>
    <row r="521" spans="1:22" x14ac:dyDescent="0.2">
      <c r="A521">
        <v>172</v>
      </c>
      <c r="B521" t="s">
        <v>361</v>
      </c>
      <c r="C521" t="s">
        <v>319</v>
      </c>
      <c r="D521" t="s">
        <v>477</v>
      </c>
      <c r="E521" t="s">
        <v>953</v>
      </c>
      <c r="F521">
        <v>102</v>
      </c>
      <c r="G521" t="s">
        <v>12</v>
      </c>
      <c r="H521" t="s">
        <v>415</v>
      </c>
      <c r="I521" t="s">
        <v>404</v>
      </c>
      <c r="J521" t="s">
        <v>580</v>
      </c>
      <c r="K521">
        <v>1.4950000000000001</v>
      </c>
      <c r="L521" s="1" t="s">
        <v>835</v>
      </c>
      <c r="M521" t="s">
        <v>954</v>
      </c>
      <c r="N521" s="1" t="s">
        <v>962</v>
      </c>
      <c r="O521">
        <v>1.4950000000000001</v>
      </c>
      <c r="P521" t="s">
        <v>415</v>
      </c>
      <c r="Q521" t="s">
        <v>634</v>
      </c>
      <c r="R521" s="1" t="s">
        <v>465</v>
      </c>
      <c r="S521" s="1" t="s">
        <v>406</v>
      </c>
      <c r="T521" s="1" t="s">
        <v>406</v>
      </c>
      <c r="U521" s="1" t="s">
        <v>789</v>
      </c>
      <c r="V521" s="1" t="s">
        <v>790</v>
      </c>
    </row>
    <row r="522" spans="1:22" x14ac:dyDescent="0.2">
      <c r="A522">
        <v>172</v>
      </c>
      <c r="B522" t="s">
        <v>361</v>
      </c>
      <c r="C522" t="s">
        <v>319</v>
      </c>
      <c r="D522" t="s">
        <v>477</v>
      </c>
      <c r="E522" t="s">
        <v>953</v>
      </c>
      <c r="F522">
        <v>102</v>
      </c>
      <c r="G522" t="s">
        <v>13</v>
      </c>
      <c r="H522" t="s">
        <v>403</v>
      </c>
      <c r="I522" t="s">
        <v>404</v>
      </c>
      <c r="J522" t="s">
        <v>580</v>
      </c>
      <c r="K522">
        <v>17.149999999999999</v>
      </c>
      <c r="L522" s="1" t="s">
        <v>835</v>
      </c>
      <c r="M522" t="s">
        <v>954</v>
      </c>
      <c r="N522" s="1" t="s">
        <v>963</v>
      </c>
      <c r="O522">
        <v>17.149999999999999</v>
      </c>
      <c r="P522" t="s">
        <v>403</v>
      </c>
      <c r="Q522" t="s">
        <v>634</v>
      </c>
      <c r="R522" s="1" t="s">
        <v>465</v>
      </c>
      <c r="S522" s="1" t="s">
        <v>406</v>
      </c>
      <c r="T522" s="1" t="s">
        <v>406</v>
      </c>
      <c r="U522" s="1" t="s">
        <v>789</v>
      </c>
      <c r="V522" s="1" t="s">
        <v>790</v>
      </c>
    </row>
    <row r="523" spans="1:22" x14ac:dyDescent="0.2">
      <c r="A523">
        <v>172</v>
      </c>
      <c r="B523" t="s">
        <v>361</v>
      </c>
      <c r="C523" t="s">
        <v>319</v>
      </c>
      <c r="D523" t="s">
        <v>477</v>
      </c>
      <c r="E523" t="s">
        <v>953</v>
      </c>
      <c r="F523">
        <v>102</v>
      </c>
      <c r="G523" t="s">
        <v>14</v>
      </c>
      <c r="H523" t="s">
        <v>403</v>
      </c>
      <c r="I523" t="s">
        <v>404</v>
      </c>
      <c r="J523" t="s">
        <v>580</v>
      </c>
      <c r="K523">
        <v>364.25</v>
      </c>
      <c r="L523" s="1" t="s">
        <v>835</v>
      </c>
      <c r="M523" t="s">
        <v>954</v>
      </c>
      <c r="N523" s="1" t="s">
        <v>964</v>
      </c>
      <c r="O523">
        <v>364.25</v>
      </c>
      <c r="P523" t="s">
        <v>403</v>
      </c>
      <c r="Q523" t="s">
        <v>634</v>
      </c>
      <c r="R523" s="1" t="s">
        <v>465</v>
      </c>
      <c r="S523" s="1" t="s">
        <v>406</v>
      </c>
      <c r="T523" s="1" t="s">
        <v>406</v>
      </c>
      <c r="U523" s="1" t="s">
        <v>789</v>
      </c>
      <c r="V523" s="1" t="s">
        <v>790</v>
      </c>
    </row>
    <row r="524" spans="1:22" x14ac:dyDescent="0.2">
      <c r="A524">
        <v>172</v>
      </c>
      <c r="B524" t="s">
        <v>361</v>
      </c>
      <c r="C524" t="s">
        <v>319</v>
      </c>
      <c r="D524" t="s">
        <v>477</v>
      </c>
      <c r="E524" t="s">
        <v>953</v>
      </c>
      <c r="F524">
        <v>102</v>
      </c>
      <c r="G524" t="s">
        <v>15</v>
      </c>
      <c r="H524" t="s">
        <v>423</v>
      </c>
      <c r="I524" t="s">
        <v>404</v>
      </c>
      <c r="J524" t="s">
        <v>580</v>
      </c>
      <c r="K524">
        <v>4.0099999999999997E-2</v>
      </c>
      <c r="L524" s="1" t="s">
        <v>835</v>
      </c>
      <c r="M524" t="s">
        <v>954</v>
      </c>
      <c r="N524" s="1" t="s">
        <v>965</v>
      </c>
      <c r="O524">
        <v>4.0099999999999997E-2</v>
      </c>
      <c r="P524" t="s">
        <v>423</v>
      </c>
      <c r="Q524" t="s">
        <v>634</v>
      </c>
      <c r="R524" s="1" t="s">
        <v>465</v>
      </c>
      <c r="S524" s="1" t="s">
        <v>406</v>
      </c>
      <c r="T524" s="1" t="s">
        <v>406</v>
      </c>
      <c r="U524" s="1" t="s">
        <v>789</v>
      </c>
      <c r="V524" s="1" t="s">
        <v>790</v>
      </c>
    </row>
    <row r="525" spans="1:22" x14ac:dyDescent="0.2">
      <c r="A525">
        <v>172</v>
      </c>
      <c r="B525" t="s">
        <v>361</v>
      </c>
      <c r="C525" t="s">
        <v>319</v>
      </c>
      <c r="D525" t="s">
        <v>477</v>
      </c>
      <c r="E525" t="s">
        <v>953</v>
      </c>
      <c r="F525">
        <v>102</v>
      </c>
      <c r="G525" t="s">
        <v>16</v>
      </c>
      <c r="H525" t="s">
        <v>423</v>
      </c>
      <c r="I525" t="s">
        <v>404</v>
      </c>
      <c r="J525" t="s">
        <v>580</v>
      </c>
      <c r="K525">
        <v>2.4199999999999999E-2</v>
      </c>
      <c r="L525" s="1" t="s">
        <v>835</v>
      </c>
      <c r="M525" t="s">
        <v>954</v>
      </c>
      <c r="N525" s="1" t="s">
        <v>966</v>
      </c>
      <c r="O525">
        <v>2.4199999999999999E-2</v>
      </c>
      <c r="P525" t="s">
        <v>423</v>
      </c>
      <c r="Q525" t="s">
        <v>634</v>
      </c>
      <c r="R525" s="1" t="s">
        <v>465</v>
      </c>
      <c r="S525" s="1" t="s">
        <v>406</v>
      </c>
      <c r="T525" s="1" t="s">
        <v>406</v>
      </c>
      <c r="U525" s="1" t="s">
        <v>789</v>
      </c>
      <c r="V525" s="1" t="s">
        <v>790</v>
      </c>
    </row>
    <row r="526" spans="1:22" x14ac:dyDescent="0.2">
      <c r="A526">
        <v>172</v>
      </c>
      <c r="B526" t="s">
        <v>361</v>
      </c>
      <c r="C526" t="s">
        <v>319</v>
      </c>
      <c r="D526" t="s">
        <v>477</v>
      </c>
      <c r="E526" t="s">
        <v>953</v>
      </c>
      <c r="F526">
        <v>102</v>
      </c>
      <c r="G526" t="s">
        <v>17</v>
      </c>
      <c r="H526" t="s">
        <v>423</v>
      </c>
      <c r="I526" t="s">
        <v>404</v>
      </c>
      <c r="J526" t="s">
        <v>580</v>
      </c>
      <c r="K526">
        <v>1.173</v>
      </c>
      <c r="L526" s="1" t="s">
        <v>835</v>
      </c>
      <c r="M526" t="s">
        <v>954</v>
      </c>
      <c r="N526" s="1" t="s">
        <v>967</v>
      </c>
      <c r="O526">
        <v>1.173</v>
      </c>
      <c r="P526" t="s">
        <v>423</v>
      </c>
      <c r="Q526" t="s">
        <v>634</v>
      </c>
      <c r="R526" s="1" t="s">
        <v>465</v>
      </c>
      <c r="S526" s="1" t="s">
        <v>406</v>
      </c>
      <c r="T526" s="1" t="s">
        <v>406</v>
      </c>
      <c r="U526" s="1" t="s">
        <v>789</v>
      </c>
      <c r="V526" s="1" t="s">
        <v>790</v>
      </c>
    </row>
    <row r="527" spans="1:22" x14ac:dyDescent="0.2">
      <c r="A527">
        <v>172</v>
      </c>
      <c r="B527" t="s">
        <v>361</v>
      </c>
      <c r="C527" t="s">
        <v>319</v>
      </c>
      <c r="D527" t="s">
        <v>477</v>
      </c>
      <c r="E527" t="s">
        <v>953</v>
      </c>
      <c r="F527">
        <v>102</v>
      </c>
      <c r="G527" t="s">
        <v>18</v>
      </c>
      <c r="H527" t="s">
        <v>423</v>
      </c>
      <c r="I527" t="s">
        <v>404</v>
      </c>
      <c r="J527" t="s">
        <v>580</v>
      </c>
      <c r="K527">
        <v>0.15</v>
      </c>
      <c r="L527" s="1" t="s">
        <v>835</v>
      </c>
      <c r="M527" t="s">
        <v>954</v>
      </c>
      <c r="N527" s="1" t="s">
        <v>968</v>
      </c>
      <c r="O527">
        <v>0.15</v>
      </c>
      <c r="P527" t="s">
        <v>423</v>
      </c>
      <c r="Q527" t="s">
        <v>634</v>
      </c>
      <c r="R527" s="1" t="s">
        <v>465</v>
      </c>
      <c r="S527" s="1" t="s">
        <v>406</v>
      </c>
      <c r="T527" s="1" t="s">
        <v>406</v>
      </c>
      <c r="U527" s="1" t="s">
        <v>789</v>
      </c>
      <c r="V527" s="1" t="s">
        <v>790</v>
      </c>
    </row>
    <row r="528" spans="1:22" x14ac:dyDescent="0.2">
      <c r="A528">
        <v>172</v>
      </c>
      <c r="B528" t="s">
        <v>361</v>
      </c>
      <c r="C528" t="s">
        <v>319</v>
      </c>
      <c r="D528" t="s">
        <v>477</v>
      </c>
      <c r="E528" t="s">
        <v>953</v>
      </c>
      <c r="F528">
        <v>102</v>
      </c>
      <c r="G528" t="s">
        <v>19</v>
      </c>
      <c r="H528" t="s">
        <v>423</v>
      </c>
      <c r="I528" t="s">
        <v>404</v>
      </c>
      <c r="J528" t="s">
        <v>580</v>
      </c>
      <c r="K528">
        <v>32.950000000000003</v>
      </c>
      <c r="L528" s="1" t="s">
        <v>835</v>
      </c>
      <c r="M528" t="s">
        <v>954</v>
      </c>
      <c r="N528" s="1" t="s">
        <v>969</v>
      </c>
      <c r="O528">
        <v>32.950000000000003</v>
      </c>
      <c r="P528" t="s">
        <v>423</v>
      </c>
      <c r="Q528" t="s">
        <v>634</v>
      </c>
      <c r="R528" s="1" t="s">
        <v>465</v>
      </c>
      <c r="S528" s="1" t="s">
        <v>406</v>
      </c>
      <c r="T528" s="1" t="s">
        <v>406</v>
      </c>
      <c r="U528" s="1" t="s">
        <v>789</v>
      </c>
      <c r="V528" s="1" t="s">
        <v>790</v>
      </c>
    </row>
    <row r="529" spans="1:22" x14ac:dyDescent="0.2">
      <c r="A529">
        <v>172</v>
      </c>
      <c r="B529" t="s">
        <v>361</v>
      </c>
      <c r="C529" t="s">
        <v>319</v>
      </c>
      <c r="D529" t="s">
        <v>477</v>
      </c>
      <c r="E529" t="s">
        <v>953</v>
      </c>
      <c r="F529">
        <v>102</v>
      </c>
      <c r="G529" t="s">
        <v>20</v>
      </c>
      <c r="H529" t="s">
        <v>423</v>
      </c>
      <c r="I529" t="s">
        <v>404</v>
      </c>
      <c r="J529" t="s">
        <v>580</v>
      </c>
      <c r="K529">
        <v>3.56E-2</v>
      </c>
      <c r="L529" s="1" t="s">
        <v>835</v>
      </c>
      <c r="M529" t="s">
        <v>954</v>
      </c>
      <c r="N529" s="1" t="s">
        <v>970</v>
      </c>
      <c r="O529">
        <v>3.56E-2</v>
      </c>
      <c r="P529" t="s">
        <v>423</v>
      </c>
      <c r="Q529" t="s">
        <v>634</v>
      </c>
      <c r="R529" s="1" t="s">
        <v>465</v>
      </c>
      <c r="S529" s="1" t="s">
        <v>406</v>
      </c>
      <c r="T529" s="1" t="s">
        <v>406</v>
      </c>
      <c r="U529" s="1" t="s">
        <v>789</v>
      </c>
      <c r="V529" s="1" t="s">
        <v>790</v>
      </c>
    </row>
    <row r="530" spans="1:22" x14ac:dyDescent="0.2">
      <c r="A530">
        <v>172</v>
      </c>
      <c r="B530" t="s">
        <v>361</v>
      </c>
      <c r="C530" t="s">
        <v>319</v>
      </c>
      <c r="D530" t="s">
        <v>477</v>
      </c>
      <c r="E530" t="s">
        <v>953</v>
      </c>
      <c r="F530">
        <v>102</v>
      </c>
      <c r="G530" t="s">
        <v>21</v>
      </c>
      <c r="H530" t="s">
        <v>423</v>
      </c>
      <c r="I530" t="s">
        <v>404</v>
      </c>
      <c r="J530" t="s">
        <v>580</v>
      </c>
      <c r="K530">
        <v>0.47599999999999998</v>
      </c>
      <c r="L530" s="1" t="s">
        <v>835</v>
      </c>
      <c r="M530" t="s">
        <v>954</v>
      </c>
      <c r="N530" s="1" t="s">
        <v>971</v>
      </c>
      <c r="O530">
        <v>0.47599999999999998</v>
      </c>
      <c r="P530" t="s">
        <v>423</v>
      </c>
      <c r="Q530" t="s">
        <v>634</v>
      </c>
      <c r="R530" s="1" t="s">
        <v>465</v>
      </c>
      <c r="S530" s="1" t="s">
        <v>406</v>
      </c>
      <c r="T530" s="1" t="s">
        <v>406</v>
      </c>
      <c r="U530" s="1" t="s">
        <v>789</v>
      </c>
      <c r="V530" s="1" t="s">
        <v>790</v>
      </c>
    </row>
    <row r="531" spans="1:22" x14ac:dyDescent="0.2">
      <c r="A531">
        <v>172</v>
      </c>
      <c r="B531" t="s">
        <v>361</v>
      </c>
      <c r="C531" t="s">
        <v>319</v>
      </c>
      <c r="D531" t="s">
        <v>477</v>
      </c>
      <c r="E531" t="s">
        <v>953</v>
      </c>
      <c r="F531">
        <v>102</v>
      </c>
      <c r="G531" t="s">
        <v>22</v>
      </c>
      <c r="H531" t="s">
        <v>423</v>
      </c>
      <c r="I531" t="s">
        <v>404</v>
      </c>
      <c r="J531" t="s">
        <v>580</v>
      </c>
      <c r="K531">
        <v>31.66</v>
      </c>
      <c r="L531" s="1" t="s">
        <v>835</v>
      </c>
      <c r="M531" t="s">
        <v>954</v>
      </c>
      <c r="N531" s="1" t="s">
        <v>972</v>
      </c>
      <c r="O531">
        <v>31.66</v>
      </c>
      <c r="P531" t="s">
        <v>423</v>
      </c>
      <c r="Q531" t="s">
        <v>634</v>
      </c>
      <c r="R531" s="1" t="s">
        <v>465</v>
      </c>
      <c r="S531" s="1" t="s">
        <v>406</v>
      </c>
      <c r="T531" s="1" t="s">
        <v>406</v>
      </c>
      <c r="U531" s="1" t="s">
        <v>789</v>
      </c>
      <c r="V531" s="1" t="s">
        <v>790</v>
      </c>
    </row>
    <row r="532" spans="1:22" x14ac:dyDescent="0.2">
      <c r="A532">
        <v>172</v>
      </c>
      <c r="B532" t="s">
        <v>361</v>
      </c>
      <c r="C532" t="s">
        <v>319</v>
      </c>
      <c r="D532" t="s">
        <v>477</v>
      </c>
      <c r="E532" t="s">
        <v>953</v>
      </c>
      <c r="F532">
        <v>102</v>
      </c>
      <c r="G532" t="s">
        <v>23</v>
      </c>
      <c r="H532" t="s">
        <v>423</v>
      </c>
      <c r="I532" t="s">
        <v>404</v>
      </c>
      <c r="J532" t="s">
        <v>580</v>
      </c>
      <c r="K532">
        <v>46.868000000000002</v>
      </c>
      <c r="L532" s="1" t="s">
        <v>835</v>
      </c>
      <c r="M532" t="s">
        <v>954</v>
      </c>
      <c r="N532" s="1" t="s">
        <v>973</v>
      </c>
      <c r="O532">
        <v>46.868000000000002</v>
      </c>
      <c r="P532" t="s">
        <v>423</v>
      </c>
      <c r="Q532" t="s">
        <v>634</v>
      </c>
      <c r="R532" s="1" t="s">
        <v>465</v>
      </c>
      <c r="S532" s="1" t="s">
        <v>406</v>
      </c>
      <c r="T532" s="1" t="s">
        <v>406</v>
      </c>
      <c r="U532" s="1" t="s">
        <v>789</v>
      </c>
      <c r="V532" s="1" t="s">
        <v>790</v>
      </c>
    </row>
    <row r="533" spans="1:22" x14ac:dyDescent="0.2">
      <c r="A533">
        <v>172</v>
      </c>
      <c r="B533" t="s">
        <v>361</v>
      </c>
      <c r="C533" t="s">
        <v>319</v>
      </c>
      <c r="D533" t="s">
        <v>477</v>
      </c>
      <c r="E533" t="s">
        <v>953</v>
      </c>
      <c r="F533">
        <v>102</v>
      </c>
      <c r="G533" t="s">
        <v>24</v>
      </c>
      <c r="H533" t="s">
        <v>423</v>
      </c>
      <c r="I533" t="s">
        <v>404</v>
      </c>
      <c r="J533" t="s">
        <v>580</v>
      </c>
      <c r="K533">
        <v>420.96499999999997</v>
      </c>
      <c r="L533" s="1" t="s">
        <v>835</v>
      </c>
      <c r="M533" t="s">
        <v>954</v>
      </c>
      <c r="N533" s="1" t="s">
        <v>974</v>
      </c>
      <c r="O533">
        <v>420.96499999999997</v>
      </c>
      <c r="P533" t="s">
        <v>423</v>
      </c>
      <c r="Q533" t="s">
        <v>634</v>
      </c>
      <c r="R533" s="1" t="s">
        <v>465</v>
      </c>
      <c r="S533" s="1" t="s">
        <v>406</v>
      </c>
      <c r="T533" s="1" t="s">
        <v>406</v>
      </c>
      <c r="U533" s="1" t="s">
        <v>789</v>
      </c>
      <c r="V533" s="1" t="s">
        <v>790</v>
      </c>
    </row>
    <row r="534" spans="1:22" x14ac:dyDescent="0.2">
      <c r="A534">
        <v>172</v>
      </c>
      <c r="B534" t="s">
        <v>361</v>
      </c>
      <c r="C534" t="s">
        <v>319</v>
      </c>
      <c r="D534" t="s">
        <v>477</v>
      </c>
      <c r="E534" t="s">
        <v>953</v>
      </c>
      <c r="F534">
        <v>102</v>
      </c>
      <c r="G534" t="s">
        <v>25</v>
      </c>
      <c r="H534" t="s">
        <v>423</v>
      </c>
      <c r="I534" t="s">
        <v>404</v>
      </c>
      <c r="J534" t="s">
        <v>580</v>
      </c>
      <c r="K534">
        <v>0.13200000000000001</v>
      </c>
      <c r="L534" s="1" t="s">
        <v>835</v>
      </c>
      <c r="M534" t="s">
        <v>954</v>
      </c>
      <c r="N534" s="1" t="s">
        <v>975</v>
      </c>
      <c r="O534">
        <v>0.13200000000000001</v>
      </c>
      <c r="P534" t="s">
        <v>423</v>
      </c>
      <c r="Q534" t="s">
        <v>634</v>
      </c>
      <c r="R534" s="1" t="s">
        <v>465</v>
      </c>
      <c r="S534" s="1" t="s">
        <v>406</v>
      </c>
      <c r="T534" s="1" t="s">
        <v>406</v>
      </c>
      <c r="U534" s="1" t="s">
        <v>789</v>
      </c>
      <c r="V534" s="1" t="s">
        <v>790</v>
      </c>
    </row>
    <row r="535" spans="1:22" x14ac:dyDescent="0.2">
      <c r="A535">
        <v>172</v>
      </c>
      <c r="B535" t="s">
        <v>361</v>
      </c>
      <c r="C535" t="s">
        <v>319</v>
      </c>
      <c r="D535" t="s">
        <v>477</v>
      </c>
      <c r="E535" t="s">
        <v>953</v>
      </c>
      <c r="F535">
        <v>102</v>
      </c>
      <c r="G535" t="s">
        <v>26</v>
      </c>
      <c r="H535" t="s">
        <v>496</v>
      </c>
      <c r="I535" t="s">
        <v>404</v>
      </c>
      <c r="J535" t="s">
        <v>580</v>
      </c>
      <c r="K535">
        <v>96.66</v>
      </c>
      <c r="L535" s="1" t="s">
        <v>835</v>
      </c>
      <c r="M535" t="s">
        <v>954</v>
      </c>
      <c r="N535" s="1" t="s">
        <v>976</v>
      </c>
      <c r="O535">
        <v>96.66</v>
      </c>
      <c r="P535" t="s">
        <v>496</v>
      </c>
      <c r="Q535" t="s">
        <v>634</v>
      </c>
      <c r="R535" s="1" t="s">
        <v>465</v>
      </c>
      <c r="S535" s="1" t="s">
        <v>406</v>
      </c>
      <c r="T535" s="1" t="s">
        <v>406</v>
      </c>
      <c r="U535" s="1" t="s">
        <v>789</v>
      </c>
      <c r="V535" s="1" t="s">
        <v>811</v>
      </c>
    </row>
    <row r="536" spans="1:22" x14ac:dyDescent="0.2">
      <c r="A536">
        <v>173</v>
      </c>
      <c r="B536" t="s">
        <v>363</v>
      </c>
      <c r="C536" t="s">
        <v>319</v>
      </c>
      <c r="D536" t="s">
        <v>477</v>
      </c>
      <c r="E536" t="s">
        <v>579</v>
      </c>
      <c r="F536">
        <v>226</v>
      </c>
      <c r="G536" t="s">
        <v>6</v>
      </c>
      <c r="H536" t="s">
        <v>493</v>
      </c>
      <c r="I536" t="s">
        <v>404</v>
      </c>
      <c r="J536" t="s">
        <v>580</v>
      </c>
      <c r="K536">
        <v>201.68</v>
      </c>
      <c r="L536" s="1" t="s">
        <v>977</v>
      </c>
      <c r="M536" t="s">
        <v>978</v>
      </c>
      <c r="N536" s="1" t="s">
        <v>979</v>
      </c>
      <c r="O536">
        <v>201.68</v>
      </c>
      <c r="P536" t="s">
        <v>493</v>
      </c>
      <c r="Q536" t="s">
        <v>634</v>
      </c>
      <c r="R536" s="1" t="s">
        <v>465</v>
      </c>
      <c r="S536" s="1" t="s">
        <v>406</v>
      </c>
      <c r="T536" s="1" t="s">
        <v>406</v>
      </c>
      <c r="U536" s="1" t="s">
        <v>838</v>
      </c>
      <c r="V536" s="1" t="s">
        <v>980</v>
      </c>
    </row>
    <row r="537" spans="1:22" x14ac:dyDescent="0.2">
      <c r="A537">
        <v>173</v>
      </c>
      <c r="B537" t="s">
        <v>363</v>
      </c>
      <c r="C537" t="s">
        <v>319</v>
      </c>
      <c r="D537" t="s">
        <v>477</v>
      </c>
      <c r="E537" t="s">
        <v>579</v>
      </c>
      <c r="F537">
        <v>226</v>
      </c>
      <c r="G537" t="s">
        <v>7</v>
      </c>
      <c r="H537" t="s">
        <v>415</v>
      </c>
      <c r="I537" t="s">
        <v>404</v>
      </c>
      <c r="J537" t="s">
        <v>580</v>
      </c>
      <c r="K537">
        <v>8.636000000000001</v>
      </c>
      <c r="L537" s="1" t="s">
        <v>977</v>
      </c>
      <c r="M537" t="s">
        <v>978</v>
      </c>
      <c r="N537" s="1" t="s">
        <v>981</v>
      </c>
      <c r="O537">
        <v>8.636000000000001</v>
      </c>
      <c r="P537" t="s">
        <v>415</v>
      </c>
      <c r="Q537" t="s">
        <v>634</v>
      </c>
      <c r="R537" s="1" t="s">
        <v>465</v>
      </c>
      <c r="S537" s="1" t="s">
        <v>406</v>
      </c>
      <c r="T537" s="1" t="s">
        <v>406</v>
      </c>
      <c r="U537" s="1" t="s">
        <v>838</v>
      </c>
      <c r="V537" s="1" t="s">
        <v>980</v>
      </c>
    </row>
    <row r="538" spans="1:22" x14ac:dyDescent="0.2">
      <c r="A538">
        <v>173</v>
      </c>
      <c r="B538" t="s">
        <v>363</v>
      </c>
      <c r="C538" t="s">
        <v>319</v>
      </c>
      <c r="D538" t="s">
        <v>477</v>
      </c>
      <c r="E538" t="s">
        <v>579</v>
      </c>
      <c r="F538">
        <v>226</v>
      </c>
      <c r="G538" t="s">
        <v>8</v>
      </c>
      <c r="H538" t="s">
        <v>415</v>
      </c>
      <c r="I538" t="s">
        <v>404</v>
      </c>
      <c r="J538" t="s">
        <v>580</v>
      </c>
      <c r="K538">
        <v>9.6820000000000004</v>
      </c>
      <c r="L538" s="1" t="s">
        <v>977</v>
      </c>
      <c r="M538" t="s">
        <v>978</v>
      </c>
      <c r="N538" s="1" t="s">
        <v>982</v>
      </c>
      <c r="O538">
        <v>9.6820000000000004</v>
      </c>
      <c r="P538" t="s">
        <v>415</v>
      </c>
      <c r="Q538" t="s">
        <v>634</v>
      </c>
      <c r="R538" s="1" t="s">
        <v>465</v>
      </c>
      <c r="S538" s="1" t="s">
        <v>406</v>
      </c>
      <c r="T538" s="1" t="s">
        <v>406</v>
      </c>
      <c r="U538" s="1" t="s">
        <v>838</v>
      </c>
      <c r="V538" s="1" t="s">
        <v>980</v>
      </c>
    </row>
    <row r="539" spans="1:22" x14ac:dyDescent="0.2">
      <c r="A539">
        <v>173</v>
      </c>
      <c r="B539" t="s">
        <v>363</v>
      </c>
      <c r="C539" t="s">
        <v>319</v>
      </c>
      <c r="D539" t="s">
        <v>477</v>
      </c>
      <c r="E539" t="s">
        <v>579</v>
      </c>
      <c r="F539">
        <v>226</v>
      </c>
      <c r="G539" t="s">
        <v>10</v>
      </c>
      <c r="H539" t="s">
        <v>415</v>
      </c>
      <c r="I539" t="s">
        <v>404</v>
      </c>
      <c r="J539" t="s">
        <v>580</v>
      </c>
      <c r="K539">
        <v>21.114000000000001</v>
      </c>
      <c r="L539" s="1" t="s">
        <v>977</v>
      </c>
      <c r="M539" t="s">
        <v>978</v>
      </c>
      <c r="N539" s="1" t="s">
        <v>983</v>
      </c>
      <c r="O539">
        <v>21.114000000000001</v>
      </c>
      <c r="P539" t="s">
        <v>415</v>
      </c>
      <c r="Q539" t="s">
        <v>634</v>
      </c>
      <c r="R539" s="1" t="s">
        <v>465</v>
      </c>
      <c r="S539" s="1" t="s">
        <v>406</v>
      </c>
      <c r="T539" s="1" t="s">
        <v>406</v>
      </c>
      <c r="U539" s="1" t="s">
        <v>838</v>
      </c>
      <c r="V539" s="1" t="s">
        <v>980</v>
      </c>
    </row>
    <row r="540" spans="1:22" x14ac:dyDescent="0.2">
      <c r="A540">
        <v>173</v>
      </c>
      <c r="B540" t="s">
        <v>363</v>
      </c>
      <c r="C540" t="s">
        <v>319</v>
      </c>
      <c r="D540" t="s">
        <v>477</v>
      </c>
      <c r="E540" t="s">
        <v>579</v>
      </c>
      <c r="F540">
        <v>226</v>
      </c>
      <c r="G540" t="s">
        <v>11</v>
      </c>
      <c r="H540" t="s">
        <v>415</v>
      </c>
      <c r="I540" t="s">
        <v>404</v>
      </c>
      <c r="J540" t="s">
        <v>580</v>
      </c>
      <c r="K540">
        <v>0.60199999999999998</v>
      </c>
      <c r="L540" s="1" t="s">
        <v>977</v>
      </c>
      <c r="M540" t="s">
        <v>978</v>
      </c>
      <c r="N540" s="1" t="s">
        <v>984</v>
      </c>
      <c r="O540">
        <v>0.60199999999999998</v>
      </c>
      <c r="P540" t="s">
        <v>415</v>
      </c>
      <c r="Q540" t="s">
        <v>634</v>
      </c>
      <c r="R540" s="1" t="s">
        <v>465</v>
      </c>
      <c r="S540" s="1" t="s">
        <v>406</v>
      </c>
      <c r="T540" s="1" t="s">
        <v>406</v>
      </c>
      <c r="U540" s="1" t="s">
        <v>838</v>
      </c>
      <c r="V540" s="1" t="s">
        <v>980</v>
      </c>
    </row>
    <row r="541" spans="1:22" x14ac:dyDescent="0.2">
      <c r="A541">
        <v>173</v>
      </c>
      <c r="B541" t="s">
        <v>363</v>
      </c>
      <c r="C541" t="s">
        <v>319</v>
      </c>
      <c r="D541" t="s">
        <v>477</v>
      </c>
      <c r="E541" t="s">
        <v>579</v>
      </c>
      <c r="F541">
        <v>226</v>
      </c>
      <c r="G541" t="s">
        <v>12</v>
      </c>
      <c r="H541" t="s">
        <v>415</v>
      </c>
      <c r="I541" t="s">
        <v>404</v>
      </c>
      <c r="J541" t="s">
        <v>580</v>
      </c>
      <c r="K541">
        <v>2.1493000000000002</v>
      </c>
      <c r="L541" s="1" t="s">
        <v>977</v>
      </c>
      <c r="M541" t="s">
        <v>978</v>
      </c>
      <c r="N541" s="1" t="s">
        <v>985</v>
      </c>
      <c r="O541">
        <v>2.1493000000000002</v>
      </c>
      <c r="P541" t="s">
        <v>415</v>
      </c>
      <c r="Q541" t="s">
        <v>634</v>
      </c>
      <c r="R541" s="1" t="s">
        <v>465</v>
      </c>
      <c r="S541" s="1" t="s">
        <v>406</v>
      </c>
      <c r="T541" s="1" t="s">
        <v>406</v>
      </c>
      <c r="U541" s="1" t="s">
        <v>838</v>
      </c>
      <c r="V541" s="1" t="s">
        <v>980</v>
      </c>
    </row>
    <row r="542" spans="1:22" x14ac:dyDescent="0.2">
      <c r="A542">
        <v>173</v>
      </c>
      <c r="B542" t="s">
        <v>363</v>
      </c>
      <c r="C542" t="s">
        <v>319</v>
      </c>
      <c r="D542" t="s">
        <v>477</v>
      </c>
      <c r="E542" t="s">
        <v>579</v>
      </c>
      <c r="F542">
        <v>226</v>
      </c>
      <c r="G542" t="s">
        <v>13</v>
      </c>
      <c r="H542" t="s">
        <v>403</v>
      </c>
      <c r="I542" t="s">
        <v>404</v>
      </c>
      <c r="J542" t="s">
        <v>580</v>
      </c>
      <c r="K542">
        <v>5.08</v>
      </c>
      <c r="L542" s="1" t="s">
        <v>977</v>
      </c>
      <c r="M542" t="s">
        <v>978</v>
      </c>
      <c r="N542" s="1" t="s">
        <v>986</v>
      </c>
      <c r="O542">
        <v>5.08</v>
      </c>
      <c r="P542" t="s">
        <v>403</v>
      </c>
      <c r="Q542" t="s">
        <v>634</v>
      </c>
      <c r="R542" s="1" t="s">
        <v>465</v>
      </c>
      <c r="S542" s="1" t="s">
        <v>406</v>
      </c>
      <c r="T542" s="1" t="s">
        <v>406</v>
      </c>
      <c r="U542" s="1" t="s">
        <v>838</v>
      </c>
      <c r="V542" s="1" t="s">
        <v>980</v>
      </c>
    </row>
    <row r="543" spans="1:22" x14ac:dyDescent="0.2">
      <c r="A543">
        <v>173</v>
      </c>
      <c r="B543" t="s">
        <v>363</v>
      </c>
      <c r="C543" t="s">
        <v>319</v>
      </c>
      <c r="D543" t="s">
        <v>477</v>
      </c>
      <c r="E543" t="s">
        <v>579</v>
      </c>
      <c r="F543">
        <v>226</v>
      </c>
      <c r="G543" t="s">
        <v>14</v>
      </c>
      <c r="H543" t="s">
        <v>403</v>
      </c>
      <c r="I543" t="s">
        <v>404</v>
      </c>
      <c r="J543" t="s">
        <v>580</v>
      </c>
      <c r="K543">
        <v>1585.9</v>
      </c>
      <c r="L543" s="1" t="s">
        <v>977</v>
      </c>
      <c r="M543" t="s">
        <v>978</v>
      </c>
      <c r="N543" s="1" t="s">
        <v>987</v>
      </c>
      <c r="O543">
        <v>1585.9</v>
      </c>
      <c r="P543" t="s">
        <v>403</v>
      </c>
      <c r="Q543" t="s">
        <v>634</v>
      </c>
      <c r="R543" s="1" t="s">
        <v>465</v>
      </c>
      <c r="S543" s="1" t="s">
        <v>406</v>
      </c>
      <c r="T543" s="1" t="s">
        <v>406</v>
      </c>
      <c r="U543" s="1" t="s">
        <v>838</v>
      </c>
      <c r="V543" s="1" t="s">
        <v>980</v>
      </c>
    </row>
    <row r="544" spans="1:22" x14ac:dyDescent="0.2">
      <c r="A544">
        <v>173</v>
      </c>
      <c r="B544" t="s">
        <v>363</v>
      </c>
      <c r="C544" t="s">
        <v>319</v>
      </c>
      <c r="D544" t="s">
        <v>477</v>
      </c>
      <c r="E544" t="s">
        <v>579</v>
      </c>
      <c r="F544">
        <v>226</v>
      </c>
      <c r="G544" t="s">
        <v>15</v>
      </c>
      <c r="H544" t="s">
        <v>423</v>
      </c>
      <c r="I544" t="s">
        <v>404</v>
      </c>
      <c r="J544" t="s">
        <v>580</v>
      </c>
      <c r="K544">
        <v>8.4500000000000006E-2</v>
      </c>
      <c r="L544" s="1" t="s">
        <v>977</v>
      </c>
      <c r="M544" t="s">
        <v>978</v>
      </c>
      <c r="N544" s="1" t="s">
        <v>988</v>
      </c>
      <c r="O544">
        <v>8.4500000000000006E-2</v>
      </c>
      <c r="P544" t="s">
        <v>423</v>
      </c>
      <c r="Q544" t="s">
        <v>634</v>
      </c>
      <c r="R544" s="1" t="s">
        <v>465</v>
      </c>
      <c r="S544" s="1" t="s">
        <v>406</v>
      </c>
      <c r="T544" s="1" t="s">
        <v>406</v>
      </c>
      <c r="U544" s="1" t="s">
        <v>838</v>
      </c>
      <c r="V544" s="1" t="s">
        <v>980</v>
      </c>
    </row>
    <row r="545" spans="1:22" x14ac:dyDescent="0.2">
      <c r="A545">
        <v>173</v>
      </c>
      <c r="B545" t="s">
        <v>363</v>
      </c>
      <c r="C545" t="s">
        <v>319</v>
      </c>
      <c r="D545" t="s">
        <v>477</v>
      </c>
      <c r="E545" t="s">
        <v>579</v>
      </c>
      <c r="F545">
        <v>226</v>
      </c>
      <c r="G545" t="s">
        <v>16</v>
      </c>
      <c r="H545" t="s">
        <v>423</v>
      </c>
      <c r="I545" t="s">
        <v>404</v>
      </c>
      <c r="J545" t="s">
        <v>580</v>
      </c>
      <c r="K545">
        <v>19.8673</v>
      </c>
      <c r="L545" s="1" t="s">
        <v>977</v>
      </c>
      <c r="M545" t="s">
        <v>978</v>
      </c>
      <c r="N545" s="1" t="s">
        <v>989</v>
      </c>
      <c r="O545">
        <v>19.8673</v>
      </c>
      <c r="P545" t="s">
        <v>423</v>
      </c>
      <c r="Q545" t="s">
        <v>634</v>
      </c>
      <c r="R545" s="1" t="s">
        <v>465</v>
      </c>
      <c r="S545" s="1" t="s">
        <v>406</v>
      </c>
      <c r="T545" s="1" t="s">
        <v>406</v>
      </c>
      <c r="U545" s="1" t="s">
        <v>838</v>
      </c>
      <c r="V545" s="1" t="s">
        <v>980</v>
      </c>
    </row>
    <row r="546" spans="1:22" x14ac:dyDescent="0.2">
      <c r="A546">
        <v>173</v>
      </c>
      <c r="B546" t="s">
        <v>363</v>
      </c>
      <c r="C546" t="s">
        <v>319</v>
      </c>
      <c r="D546" t="s">
        <v>477</v>
      </c>
      <c r="E546" t="s">
        <v>579</v>
      </c>
      <c r="F546">
        <v>226</v>
      </c>
      <c r="G546" t="s">
        <v>17</v>
      </c>
      <c r="H546" t="s">
        <v>423</v>
      </c>
      <c r="I546" t="s">
        <v>404</v>
      </c>
      <c r="J546" t="s">
        <v>580</v>
      </c>
      <c r="K546">
        <v>3.6680000000000001</v>
      </c>
      <c r="L546" s="1" t="s">
        <v>977</v>
      </c>
      <c r="M546" t="s">
        <v>978</v>
      </c>
      <c r="N546" s="1" t="s">
        <v>990</v>
      </c>
      <c r="O546">
        <v>3.6680000000000001</v>
      </c>
      <c r="P546" t="s">
        <v>423</v>
      </c>
      <c r="Q546" t="s">
        <v>634</v>
      </c>
      <c r="R546" s="1" t="s">
        <v>465</v>
      </c>
      <c r="S546" s="1" t="s">
        <v>406</v>
      </c>
      <c r="T546" s="1" t="s">
        <v>406</v>
      </c>
      <c r="U546" s="1" t="s">
        <v>838</v>
      </c>
      <c r="V546" s="1" t="s">
        <v>980</v>
      </c>
    </row>
    <row r="547" spans="1:22" x14ac:dyDescent="0.2">
      <c r="A547">
        <v>173</v>
      </c>
      <c r="B547" t="s">
        <v>363</v>
      </c>
      <c r="C547" t="s">
        <v>319</v>
      </c>
      <c r="D547" t="s">
        <v>477</v>
      </c>
      <c r="E547" t="s">
        <v>579</v>
      </c>
      <c r="F547">
        <v>226</v>
      </c>
      <c r="G547" t="s">
        <v>18</v>
      </c>
      <c r="H547" t="s">
        <v>423</v>
      </c>
      <c r="I547" t="s">
        <v>404</v>
      </c>
      <c r="J547" t="s">
        <v>580</v>
      </c>
      <c r="K547">
        <v>3.54</v>
      </c>
      <c r="L547" s="1" t="s">
        <v>977</v>
      </c>
      <c r="M547" t="s">
        <v>978</v>
      </c>
      <c r="N547" s="1" t="s">
        <v>991</v>
      </c>
      <c r="O547">
        <v>3.54</v>
      </c>
      <c r="P547" t="s">
        <v>423</v>
      </c>
      <c r="Q547" t="s">
        <v>634</v>
      </c>
      <c r="R547" s="1" t="s">
        <v>465</v>
      </c>
      <c r="S547" s="1" t="s">
        <v>406</v>
      </c>
      <c r="T547" s="1" t="s">
        <v>406</v>
      </c>
      <c r="U547" s="1" t="s">
        <v>838</v>
      </c>
      <c r="V547" s="1" t="s">
        <v>980</v>
      </c>
    </row>
    <row r="548" spans="1:22" x14ac:dyDescent="0.2">
      <c r="A548">
        <v>173</v>
      </c>
      <c r="B548" t="s">
        <v>363</v>
      </c>
      <c r="C548" t="s">
        <v>319</v>
      </c>
      <c r="D548" t="s">
        <v>477</v>
      </c>
      <c r="E548" t="s">
        <v>579</v>
      </c>
      <c r="F548">
        <v>226</v>
      </c>
      <c r="G548" t="s">
        <v>19</v>
      </c>
      <c r="H548" t="s">
        <v>423</v>
      </c>
      <c r="I548" t="s">
        <v>404</v>
      </c>
      <c r="J548" t="s">
        <v>580</v>
      </c>
      <c r="K548">
        <v>77.747</v>
      </c>
      <c r="L548" s="1" t="s">
        <v>977</v>
      </c>
      <c r="M548" t="s">
        <v>978</v>
      </c>
      <c r="N548" s="1" t="s">
        <v>992</v>
      </c>
      <c r="O548">
        <v>77.747</v>
      </c>
      <c r="P548" t="s">
        <v>423</v>
      </c>
      <c r="Q548" t="s">
        <v>634</v>
      </c>
      <c r="R548" s="1" t="s">
        <v>465</v>
      </c>
      <c r="S548" s="1" t="s">
        <v>406</v>
      </c>
      <c r="T548" s="1" t="s">
        <v>406</v>
      </c>
      <c r="U548" s="1" t="s">
        <v>838</v>
      </c>
      <c r="V548" s="1" t="s">
        <v>980</v>
      </c>
    </row>
    <row r="549" spans="1:22" x14ac:dyDescent="0.2">
      <c r="A549">
        <v>173</v>
      </c>
      <c r="B549" t="s">
        <v>363</v>
      </c>
      <c r="C549" t="s">
        <v>319</v>
      </c>
      <c r="D549" t="s">
        <v>477</v>
      </c>
      <c r="E549" t="s">
        <v>579</v>
      </c>
      <c r="F549">
        <v>226</v>
      </c>
      <c r="G549" t="s">
        <v>20</v>
      </c>
      <c r="H549" t="s">
        <v>423</v>
      </c>
      <c r="I549" t="s">
        <v>404</v>
      </c>
      <c r="J549" t="s">
        <v>580</v>
      </c>
      <c r="K549">
        <v>0.223916</v>
      </c>
      <c r="L549" s="1" t="s">
        <v>977</v>
      </c>
      <c r="M549" t="s">
        <v>978</v>
      </c>
      <c r="N549" s="1" t="s">
        <v>993</v>
      </c>
      <c r="O549">
        <v>0.223916</v>
      </c>
      <c r="P549" t="s">
        <v>423</v>
      </c>
      <c r="Q549" t="s">
        <v>634</v>
      </c>
      <c r="R549" s="1" t="s">
        <v>465</v>
      </c>
      <c r="S549" s="1" t="s">
        <v>406</v>
      </c>
      <c r="T549" s="1" t="s">
        <v>406</v>
      </c>
      <c r="U549" s="1" t="s">
        <v>838</v>
      </c>
      <c r="V549" s="1" t="s">
        <v>980</v>
      </c>
    </row>
    <row r="550" spans="1:22" x14ac:dyDescent="0.2">
      <c r="A550">
        <v>173</v>
      </c>
      <c r="B550" t="s">
        <v>363</v>
      </c>
      <c r="C550" t="s">
        <v>319</v>
      </c>
      <c r="D550" t="s">
        <v>477</v>
      </c>
      <c r="E550" t="s">
        <v>579</v>
      </c>
      <c r="F550">
        <v>226</v>
      </c>
      <c r="G550" t="s">
        <v>21</v>
      </c>
      <c r="H550" t="s">
        <v>423</v>
      </c>
      <c r="I550" t="s">
        <v>404</v>
      </c>
      <c r="J550" t="s">
        <v>580</v>
      </c>
      <c r="K550">
        <v>1.5089999999999999</v>
      </c>
      <c r="L550" s="1" t="s">
        <v>977</v>
      </c>
      <c r="M550" t="s">
        <v>978</v>
      </c>
      <c r="N550" s="1" t="s">
        <v>994</v>
      </c>
      <c r="O550">
        <v>1.5089999999999999</v>
      </c>
      <c r="P550" t="s">
        <v>423</v>
      </c>
      <c r="Q550" t="s">
        <v>634</v>
      </c>
      <c r="R550" s="1" t="s">
        <v>465</v>
      </c>
      <c r="S550" s="1" t="s">
        <v>406</v>
      </c>
      <c r="T550" s="1" t="s">
        <v>406</v>
      </c>
      <c r="U550" s="1" t="s">
        <v>838</v>
      </c>
      <c r="V550" s="1" t="s">
        <v>980</v>
      </c>
    </row>
    <row r="551" spans="1:22" x14ac:dyDescent="0.2">
      <c r="A551">
        <v>173</v>
      </c>
      <c r="B551" t="s">
        <v>363</v>
      </c>
      <c r="C551" t="s">
        <v>319</v>
      </c>
      <c r="D551" t="s">
        <v>477</v>
      </c>
      <c r="E551" t="s">
        <v>579</v>
      </c>
      <c r="F551">
        <v>226</v>
      </c>
      <c r="G551" t="s">
        <v>22</v>
      </c>
      <c r="H551" t="s">
        <v>423</v>
      </c>
      <c r="I551" t="s">
        <v>404</v>
      </c>
      <c r="J551" t="s">
        <v>580</v>
      </c>
      <c r="K551">
        <v>141.982</v>
      </c>
      <c r="L551" s="1" t="s">
        <v>977</v>
      </c>
      <c r="M551" t="s">
        <v>978</v>
      </c>
      <c r="N551" s="1" t="s">
        <v>995</v>
      </c>
      <c r="O551">
        <v>141.982</v>
      </c>
      <c r="P551" t="s">
        <v>423</v>
      </c>
      <c r="Q551" t="s">
        <v>634</v>
      </c>
      <c r="R551" s="1" t="s">
        <v>465</v>
      </c>
      <c r="S551" s="1" t="s">
        <v>406</v>
      </c>
      <c r="T551" s="1" t="s">
        <v>406</v>
      </c>
      <c r="U551" s="1" t="s">
        <v>838</v>
      </c>
      <c r="V551" s="1" t="s">
        <v>980</v>
      </c>
    </row>
    <row r="552" spans="1:22" x14ac:dyDescent="0.2">
      <c r="A552">
        <v>173</v>
      </c>
      <c r="B552" t="s">
        <v>363</v>
      </c>
      <c r="C552" t="s">
        <v>319</v>
      </c>
      <c r="D552" t="s">
        <v>477</v>
      </c>
      <c r="E552" t="s">
        <v>579</v>
      </c>
      <c r="F552">
        <v>226</v>
      </c>
      <c r="G552" t="s">
        <v>23</v>
      </c>
      <c r="H552" t="s">
        <v>423</v>
      </c>
      <c r="I552" t="s">
        <v>404</v>
      </c>
      <c r="J552" t="s">
        <v>580</v>
      </c>
      <c r="K552">
        <v>182.92599999999999</v>
      </c>
      <c r="L552" s="1" t="s">
        <v>977</v>
      </c>
      <c r="M552" t="s">
        <v>978</v>
      </c>
      <c r="N552" s="1" t="s">
        <v>996</v>
      </c>
      <c r="O552">
        <v>182.92599999999999</v>
      </c>
      <c r="P552" t="s">
        <v>423</v>
      </c>
      <c r="Q552" t="s">
        <v>634</v>
      </c>
      <c r="R552" s="1" t="s">
        <v>465</v>
      </c>
      <c r="S552" s="1" t="s">
        <v>406</v>
      </c>
      <c r="T552" s="1" t="s">
        <v>406</v>
      </c>
      <c r="U552" s="1" t="s">
        <v>838</v>
      </c>
      <c r="V552" s="1" t="s">
        <v>980</v>
      </c>
    </row>
    <row r="553" spans="1:22" x14ac:dyDescent="0.2">
      <c r="A553">
        <v>173</v>
      </c>
      <c r="B553" t="s">
        <v>363</v>
      </c>
      <c r="C553" t="s">
        <v>319</v>
      </c>
      <c r="D553" t="s">
        <v>477</v>
      </c>
      <c r="E553" t="s">
        <v>579</v>
      </c>
      <c r="F553">
        <v>226</v>
      </c>
      <c r="G553" t="s">
        <v>24</v>
      </c>
      <c r="H553" t="s">
        <v>423</v>
      </c>
      <c r="I553" t="s">
        <v>404</v>
      </c>
      <c r="J553" t="s">
        <v>580</v>
      </c>
      <c r="K553">
        <v>411.28199999999998</v>
      </c>
      <c r="L553" s="1" t="s">
        <v>977</v>
      </c>
      <c r="M553" t="s">
        <v>978</v>
      </c>
      <c r="N553" s="1" t="s">
        <v>997</v>
      </c>
      <c r="O553">
        <v>411.28199999999998</v>
      </c>
      <c r="P553" t="s">
        <v>423</v>
      </c>
      <c r="Q553" t="s">
        <v>634</v>
      </c>
      <c r="R553" s="1" t="s">
        <v>465</v>
      </c>
      <c r="S553" s="1" t="s">
        <v>406</v>
      </c>
      <c r="T553" s="1" t="s">
        <v>406</v>
      </c>
      <c r="U553" s="1" t="s">
        <v>838</v>
      </c>
      <c r="V553" s="1" t="s">
        <v>980</v>
      </c>
    </row>
    <row r="554" spans="1:22" x14ac:dyDescent="0.2">
      <c r="A554">
        <v>173</v>
      </c>
      <c r="B554" t="s">
        <v>363</v>
      </c>
      <c r="C554" t="s">
        <v>319</v>
      </c>
      <c r="D554" t="s">
        <v>477</v>
      </c>
      <c r="E554" t="s">
        <v>579</v>
      </c>
      <c r="F554">
        <v>226</v>
      </c>
      <c r="G554" t="s">
        <v>25</v>
      </c>
      <c r="H554" t="s">
        <v>423</v>
      </c>
      <c r="I554" t="s">
        <v>404</v>
      </c>
      <c r="J554" t="s">
        <v>580</v>
      </c>
      <c r="K554">
        <v>0.53060000000000007</v>
      </c>
      <c r="L554" s="1" t="s">
        <v>977</v>
      </c>
      <c r="M554" t="s">
        <v>978</v>
      </c>
      <c r="N554" s="1" t="s">
        <v>998</v>
      </c>
      <c r="O554">
        <v>0.53060000000000007</v>
      </c>
      <c r="P554" t="s">
        <v>423</v>
      </c>
      <c r="Q554" t="s">
        <v>634</v>
      </c>
      <c r="R554" s="1" t="s">
        <v>465</v>
      </c>
      <c r="S554" s="1" t="s">
        <v>406</v>
      </c>
      <c r="T554" s="1" t="s">
        <v>406</v>
      </c>
      <c r="U554" s="1" t="s">
        <v>838</v>
      </c>
      <c r="V554" s="1" t="s">
        <v>980</v>
      </c>
    </row>
    <row r="555" spans="1:22" x14ac:dyDescent="0.2">
      <c r="A555">
        <v>173</v>
      </c>
      <c r="B555" t="s">
        <v>363</v>
      </c>
      <c r="C555" t="s">
        <v>319</v>
      </c>
      <c r="D555" t="s">
        <v>477</v>
      </c>
      <c r="E555" t="s">
        <v>579</v>
      </c>
      <c r="F555">
        <v>226</v>
      </c>
      <c r="G555" t="s">
        <v>26</v>
      </c>
      <c r="H555" t="s">
        <v>496</v>
      </c>
      <c r="I555" t="s">
        <v>404</v>
      </c>
      <c r="J555" t="s">
        <v>580</v>
      </c>
      <c r="K555">
        <v>85.545479820627804</v>
      </c>
      <c r="L555" s="1" t="s">
        <v>977</v>
      </c>
      <c r="M555" t="s">
        <v>978</v>
      </c>
      <c r="N555" s="1" t="s">
        <v>999</v>
      </c>
      <c r="O555">
        <v>85.545479820627804</v>
      </c>
      <c r="P555" t="s">
        <v>496</v>
      </c>
      <c r="Q555" t="s">
        <v>634</v>
      </c>
      <c r="R555" s="1" t="s">
        <v>465</v>
      </c>
      <c r="S555" s="1" t="s">
        <v>406</v>
      </c>
      <c r="T555" s="1" t="s">
        <v>406</v>
      </c>
      <c r="U555" s="1" t="s">
        <v>838</v>
      </c>
      <c r="V555" s="1" t="s">
        <v>1000</v>
      </c>
    </row>
    <row r="556" spans="1:22" x14ac:dyDescent="0.2">
      <c r="A556">
        <v>181</v>
      </c>
      <c r="B556" t="s">
        <v>380</v>
      </c>
      <c r="C556" t="s">
        <v>319</v>
      </c>
      <c r="D556" t="s">
        <v>477</v>
      </c>
      <c r="E556" t="s">
        <v>1001</v>
      </c>
      <c r="F556">
        <v>2107</v>
      </c>
      <c r="G556" t="s">
        <v>6</v>
      </c>
      <c r="H556" t="s">
        <v>493</v>
      </c>
      <c r="I556" t="s">
        <v>404</v>
      </c>
      <c r="J556" t="s">
        <v>580</v>
      </c>
      <c r="K556">
        <v>79.200000000000017</v>
      </c>
      <c r="L556" s="1" t="s">
        <v>762</v>
      </c>
      <c r="M556" t="s">
        <v>1002</v>
      </c>
      <c r="N556" s="1" t="s">
        <v>1003</v>
      </c>
      <c r="O556">
        <v>79.200000000000017</v>
      </c>
      <c r="P556" t="s">
        <v>493</v>
      </c>
      <c r="Q556" t="s">
        <v>634</v>
      </c>
      <c r="R556" s="1" t="s">
        <v>465</v>
      </c>
      <c r="S556" s="1" t="s">
        <v>406</v>
      </c>
      <c r="T556" s="1" t="s">
        <v>406</v>
      </c>
      <c r="U556" s="1" t="s">
        <v>789</v>
      </c>
      <c r="V556" s="1" t="s">
        <v>790</v>
      </c>
    </row>
    <row r="557" spans="1:22" x14ac:dyDescent="0.2">
      <c r="A557">
        <v>181</v>
      </c>
      <c r="B557" t="s">
        <v>380</v>
      </c>
      <c r="C557" t="s">
        <v>319</v>
      </c>
      <c r="D557" t="s">
        <v>477</v>
      </c>
      <c r="E557" t="s">
        <v>1001</v>
      </c>
      <c r="F557">
        <v>2107</v>
      </c>
      <c r="G557" t="s">
        <v>7</v>
      </c>
      <c r="H557" t="s">
        <v>415</v>
      </c>
      <c r="I557" t="s">
        <v>404</v>
      </c>
      <c r="J557" t="s">
        <v>580</v>
      </c>
      <c r="K557">
        <v>2.0760000000000001</v>
      </c>
      <c r="L557" s="1" t="s">
        <v>762</v>
      </c>
      <c r="M557" t="s">
        <v>1002</v>
      </c>
      <c r="N557" s="1" t="s">
        <v>1004</v>
      </c>
      <c r="O557">
        <v>2.0760000000000001</v>
      </c>
      <c r="P557" t="s">
        <v>415</v>
      </c>
      <c r="Q557" t="s">
        <v>634</v>
      </c>
      <c r="R557" s="1" t="s">
        <v>465</v>
      </c>
      <c r="S557" s="1" t="s">
        <v>406</v>
      </c>
      <c r="T557" s="1" t="s">
        <v>406</v>
      </c>
      <c r="U557" s="1" t="s">
        <v>789</v>
      </c>
      <c r="V557" s="1" t="s">
        <v>790</v>
      </c>
    </row>
    <row r="558" spans="1:22" x14ac:dyDescent="0.2">
      <c r="A558">
        <v>181</v>
      </c>
      <c r="B558" t="s">
        <v>380</v>
      </c>
      <c r="C558" t="s">
        <v>319</v>
      </c>
      <c r="D558" t="s">
        <v>477</v>
      </c>
      <c r="E558" t="s">
        <v>1001</v>
      </c>
      <c r="F558">
        <v>2107</v>
      </c>
      <c r="G558" t="s">
        <v>8</v>
      </c>
      <c r="H558" t="s">
        <v>415</v>
      </c>
      <c r="I558" t="s">
        <v>404</v>
      </c>
      <c r="J558" t="s">
        <v>580</v>
      </c>
      <c r="K558">
        <v>1.7529999999999999</v>
      </c>
      <c r="L558" s="1" t="s">
        <v>762</v>
      </c>
      <c r="M558" t="s">
        <v>1002</v>
      </c>
      <c r="N558" s="1" t="s">
        <v>1005</v>
      </c>
      <c r="O558">
        <v>1.7529999999999999</v>
      </c>
      <c r="P558" t="s">
        <v>415</v>
      </c>
      <c r="Q558" t="s">
        <v>634</v>
      </c>
      <c r="R558" s="1" t="s">
        <v>465</v>
      </c>
      <c r="S558" s="1" t="s">
        <v>406</v>
      </c>
      <c r="T558" s="1" t="s">
        <v>406</v>
      </c>
      <c r="U558" s="1" t="s">
        <v>789</v>
      </c>
      <c r="V558" s="1" t="s">
        <v>790</v>
      </c>
    </row>
    <row r="559" spans="1:22" ht="16" customHeight="1" x14ac:dyDescent="0.2">
      <c r="A559">
        <v>181</v>
      </c>
      <c r="B559" t="s">
        <v>380</v>
      </c>
      <c r="C559" t="s">
        <v>319</v>
      </c>
      <c r="D559" t="s">
        <v>477</v>
      </c>
      <c r="E559" t="s">
        <v>1001</v>
      </c>
      <c r="F559">
        <v>2107</v>
      </c>
      <c r="G559" t="s">
        <v>9</v>
      </c>
      <c r="H559" t="s">
        <v>415</v>
      </c>
      <c r="I559" t="s">
        <v>404</v>
      </c>
      <c r="J559" t="s">
        <v>405</v>
      </c>
      <c r="K559">
        <v>0</v>
      </c>
      <c r="L559" s="11" t="s">
        <v>406</v>
      </c>
      <c r="M559" t="s">
        <v>416</v>
      </c>
      <c r="N559" s="11" t="s">
        <v>417</v>
      </c>
      <c r="O559" t="s">
        <v>418</v>
      </c>
      <c r="P559" t="s">
        <v>415</v>
      </c>
      <c r="Q559">
        <v>1</v>
      </c>
      <c r="R559" s="11" t="s">
        <v>406</v>
      </c>
      <c r="S559" s="11" t="s">
        <v>406</v>
      </c>
      <c r="T559" s="11" t="s">
        <v>406</v>
      </c>
      <c r="U559" s="11" t="s">
        <v>419</v>
      </c>
      <c r="V559" s="11" t="s">
        <v>420</v>
      </c>
    </row>
    <row r="560" spans="1:22" x14ac:dyDescent="0.2">
      <c r="A560">
        <v>181</v>
      </c>
      <c r="B560" t="s">
        <v>380</v>
      </c>
      <c r="C560" t="s">
        <v>319</v>
      </c>
      <c r="D560" t="s">
        <v>477</v>
      </c>
      <c r="E560" t="s">
        <v>1001</v>
      </c>
      <c r="F560">
        <v>2107</v>
      </c>
      <c r="G560" t="s">
        <v>10</v>
      </c>
      <c r="H560" t="s">
        <v>415</v>
      </c>
      <c r="I560" t="s">
        <v>404</v>
      </c>
      <c r="J560" t="s">
        <v>580</v>
      </c>
      <c r="K560">
        <v>14.362</v>
      </c>
      <c r="L560" s="1" t="s">
        <v>762</v>
      </c>
      <c r="M560" t="s">
        <v>1002</v>
      </c>
      <c r="N560" s="1" t="s">
        <v>1006</v>
      </c>
      <c r="O560">
        <v>14.362</v>
      </c>
      <c r="P560" t="s">
        <v>415</v>
      </c>
      <c r="Q560" t="s">
        <v>634</v>
      </c>
      <c r="R560" s="1" t="s">
        <v>465</v>
      </c>
      <c r="S560" s="1" t="s">
        <v>406</v>
      </c>
      <c r="T560" s="1" t="s">
        <v>406</v>
      </c>
      <c r="U560" s="1" t="s">
        <v>789</v>
      </c>
      <c r="V560" s="1" t="s">
        <v>790</v>
      </c>
    </row>
    <row r="561" spans="1:22" x14ac:dyDescent="0.2">
      <c r="A561">
        <v>181</v>
      </c>
      <c r="B561" t="s">
        <v>380</v>
      </c>
      <c r="C561" t="s">
        <v>319</v>
      </c>
      <c r="D561" t="s">
        <v>477</v>
      </c>
      <c r="E561" t="s">
        <v>1001</v>
      </c>
      <c r="F561">
        <v>2107</v>
      </c>
      <c r="G561" t="s">
        <v>11</v>
      </c>
      <c r="H561" t="s">
        <v>415</v>
      </c>
      <c r="I561" t="s">
        <v>404</v>
      </c>
      <c r="J561" t="s">
        <v>580</v>
      </c>
      <c r="K561">
        <v>0.7410000000000001</v>
      </c>
      <c r="L561" s="1" t="s">
        <v>762</v>
      </c>
      <c r="M561" t="s">
        <v>1002</v>
      </c>
      <c r="N561" s="1" t="s">
        <v>1007</v>
      </c>
      <c r="O561">
        <v>0.7410000000000001</v>
      </c>
      <c r="P561" t="s">
        <v>415</v>
      </c>
      <c r="Q561" t="s">
        <v>634</v>
      </c>
      <c r="R561" s="1" t="s">
        <v>465</v>
      </c>
      <c r="S561" s="1" t="s">
        <v>406</v>
      </c>
      <c r="T561" s="1" t="s">
        <v>406</v>
      </c>
      <c r="U561" s="1" t="s">
        <v>789</v>
      </c>
      <c r="V561" s="1" t="s">
        <v>790</v>
      </c>
    </row>
    <row r="562" spans="1:22" x14ac:dyDescent="0.2">
      <c r="A562">
        <v>181</v>
      </c>
      <c r="B562" t="s">
        <v>380</v>
      </c>
      <c r="C562" t="s">
        <v>319</v>
      </c>
      <c r="D562" t="s">
        <v>477</v>
      </c>
      <c r="E562" t="s">
        <v>1001</v>
      </c>
      <c r="F562">
        <v>2107</v>
      </c>
      <c r="G562" t="s">
        <v>12</v>
      </c>
      <c r="H562" t="s">
        <v>415</v>
      </c>
      <c r="I562" t="s">
        <v>404</v>
      </c>
      <c r="J562" t="s">
        <v>580</v>
      </c>
      <c r="K562">
        <v>0.68799999999999994</v>
      </c>
      <c r="L562" s="1" t="s">
        <v>762</v>
      </c>
      <c r="M562" t="s">
        <v>1002</v>
      </c>
      <c r="N562" s="1" t="s">
        <v>1008</v>
      </c>
      <c r="O562">
        <v>0.68799999999999994</v>
      </c>
      <c r="P562" t="s">
        <v>415</v>
      </c>
      <c r="Q562" t="s">
        <v>634</v>
      </c>
      <c r="R562" s="1" t="s">
        <v>465</v>
      </c>
      <c r="S562" s="1" t="s">
        <v>406</v>
      </c>
      <c r="T562" s="1" t="s">
        <v>406</v>
      </c>
      <c r="U562" s="1" t="s">
        <v>789</v>
      </c>
      <c r="V562" s="1" t="s">
        <v>790</v>
      </c>
    </row>
    <row r="563" spans="1:22" x14ac:dyDescent="0.2">
      <c r="A563">
        <v>181</v>
      </c>
      <c r="B563" t="s">
        <v>380</v>
      </c>
      <c r="C563" t="s">
        <v>319</v>
      </c>
      <c r="D563" t="s">
        <v>477</v>
      </c>
      <c r="E563" t="s">
        <v>1001</v>
      </c>
      <c r="F563">
        <v>2107</v>
      </c>
      <c r="G563" t="s">
        <v>13</v>
      </c>
      <c r="H563" t="s">
        <v>403</v>
      </c>
      <c r="I563" t="s">
        <v>404</v>
      </c>
      <c r="J563" t="s">
        <v>580</v>
      </c>
      <c r="K563">
        <v>13.95</v>
      </c>
      <c r="L563" s="1" t="s">
        <v>762</v>
      </c>
      <c r="M563" t="s">
        <v>1002</v>
      </c>
      <c r="N563" s="1" t="s">
        <v>1009</v>
      </c>
      <c r="O563">
        <v>13.95</v>
      </c>
      <c r="P563" t="s">
        <v>403</v>
      </c>
      <c r="Q563" t="s">
        <v>634</v>
      </c>
      <c r="R563" s="1" t="s">
        <v>465</v>
      </c>
      <c r="S563" s="1" t="s">
        <v>406</v>
      </c>
      <c r="T563" s="1" t="s">
        <v>406</v>
      </c>
      <c r="U563" s="1" t="s">
        <v>789</v>
      </c>
      <c r="V563" s="1" t="s">
        <v>790</v>
      </c>
    </row>
    <row r="564" spans="1:22" x14ac:dyDescent="0.2">
      <c r="A564">
        <v>181</v>
      </c>
      <c r="B564" t="s">
        <v>380</v>
      </c>
      <c r="C564" t="s">
        <v>319</v>
      </c>
      <c r="D564" t="s">
        <v>477</v>
      </c>
      <c r="E564" t="s">
        <v>1001</v>
      </c>
      <c r="F564">
        <v>2107</v>
      </c>
      <c r="G564" t="s">
        <v>14</v>
      </c>
      <c r="H564" t="s">
        <v>403</v>
      </c>
      <c r="I564" t="s">
        <v>404</v>
      </c>
      <c r="J564" t="s">
        <v>580</v>
      </c>
      <c r="K564">
        <v>45.489999999999988</v>
      </c>
      <c r="L564" s="1" t="s">
        <v>762</v>
      </c>
      <c r="M564" t="s">
        <v>1002</v>
      </c>
      <c r="N564" s="1" t="s">
        <v>1010</v>
      </c>
      <c r="O564">
        <v>45.489999999999988</v>
      </c>
      <c r="P564" t="s">
        <v>403</v>
      </c>
      <c r="Q564" t="s">
        <v>634</v>
      </c>
      <c r="R564" s="1" t="s">
        <v>465</v>
      </c>
      <c r="S564" s="1" t="s">
        <v>406</v>
      </c>
      <c r="T564" s="1" t="s">
        <v>406</v>
      </c>
      <c r="U564" s="1" t="s">
        <v>789</v>
      </c>
      <c r="V564" s="1" t="s">
        <v>790</v>
      </c>
    </row>
    <row r="565" spans="1:22" x14ac:dyDescent="0.2">
      <c r="A565">
        <v>181</v>
      </c>
      <c r="B565" t="s">
        <v>380</v>
      </c>
      <c r="C565" t="s">
        <v>319</v>
      </c>
      <c r="D565" t="s">
        <v>477</v>
      </c>
      <c r="E565" t="s">
        <v>1001</v>
      </c>
      <c r="F565">
        <v>2107</v>
      </c>
      <c r="G565" t="s">
        <v>15</v>
      </c>
      <c r="H565" t="s">
        <v>423</v>
      </c>
      <c r="I565" t="s">
        <v>404</v>
      </c>
      <c r="J565" t="s">
        <v>580</v>
      </c>
      <c r="K565">
        <v>3.2500000000000001E-2</v>
      </c>
      <c r="L565" s="1" t="s">
        <v>762</v>
      </c>
      <c r="M565" t="s">
        <v>1002</v>
      </c>
      <c r="N565" s="1" t="s">
        <v>1011</v>
      </c>
      <c r="O565">
        <v>3.2500000000000001E-2</v>
      </c>
      <c r="P565" t="s">
        <v>423</v>
      </c>
      <c r="Q565" t="s">
        <v>634</v>
      </c>
      <c r="R565" s="1" t="s">
        <v>465</v>
      </c>
      <c r="S565" s="1" t="s">
        <v>406</v>
      </c>
      <c r="T565" s="1" t="s">
        <v>406</v>
      </c>
      <c r="U565" s="1" t="s">
        <v>789</v>
      </c>
      <c r="V565" s="1" t="s">
        <v>790</v>
      </c>
    </row>
    <row r="566" spans="1:22" x14ac:dyDescent="0.2">
      <c r="A566">
        <v>181</v>
      </c>
      <c r="B566" t="s">
        <v>380</v>
      </c>
      <c r="C566" t="s">
        <v>319</v>
      </c>
      <c r="D566" t="s">
        <v>477</v>
      </c>
      <c r="E566" t="s">
        <v>1001</v>
      </c>
      <c r="F566">
        <v>2107</v>
      </c>
      <c r="G566" t="s">
        <v>16</v>
      </c>
      <c r="H566" t="s">
        <v>423</v>
      </c>
      <c r="I566" t="s">
        <v>404</v>
      </c>
      <c r="J566" t="s">
        <v>580</v>
      </c>
      <c r="K566">
        <v>6.5600000000000006E-2</v>
      </c>
      <c r="L566" s="1" t="s">
        <v>762</v>
      </c>
      <c r="M566" t="s">
        <v>1002</v>
      </c>
      <c r="N566" s="1" t="s">
        <v>1012</v>
      </c>
      <c r="O566">
        <v>6.5600000000000006E-2</v>
      </c>
      <c r="P566" t="s">
        <v>423</v>
      </c>
      <c r="Q566" t="s">
        <v>634</v>
      </c>
      <c r="R566" s="1" t="s">
        <v>465</v>
      </c>
      <c r="S566" s="1" t="s">
        <v>406</v>
      </c>
      <c r="T566" s="1" t="s">
        <v>406</v>
      </c>
      <c r="U566" s="1" t="s">
        <v>789</v>
      </c>
      <c r="V566" s="1" t="s">
        <v>790</v>
      </c>
    </row>
    <row r="567" spans="1:22" x14ac:dyDescent="0.2">
      <c r="A567">
        <v>181</v>
      </c>
      <c r="B567" t="s">
        <v>380</v>
      </c>
      <c r="C567" t="s">
        <v>319</v>
      </c>
      <c r="D567" t="s">
        <v>477</v>
      </c>
      <c r="E567" t="s">
        <v>1001</v>
      </c>
      <c r="F567">
        <v>2107</v>
      </c>
      <c r="G567" t="s">
        <v>17</v>
      </c>
      <c r="H567" t="s">
        <v>423</v>
      </c>
      <c r="I567" t="s">
        <v>404</v>
      </c>
      <c r="J567" t="s">
        <v>580</v>
      </c>
      <c r="K567">
        <v>0.34600000000000009</v>
      </c>
      <c r="L567" s="1" t="s">
        <v>762</v>
      </c>
      <c r="M567" t="s">
        <v>1002</v>
      </c>
      <c r="N567" s="1" t="s">
        <v>1013</v>
      </c>
      <c r="O567">
        <v>0.34600000000000009</v>
      </c>
      <c r="P567" t="s">
        <v>423</v>
      </c>
      <c r="Q567" t="s">
        <v>634</v>
      </c>
      <c r="R567" s="1" t="s">
        <v>465</v>
      </c>
      <c r="S567" s="1" t="s">
        <v>406</v>
      </c>
      <c r="T567" s="1" t="s">
        <v>406</v>
      </c>
      <c r="U567" s="1" t="s">
        <v>789</v>
      </c>
      <c r="V567" s="1" t="s">
        <v>790</v>
      </c>
    </row>
    <row r="568" spans="1:22" x14ac:dyDescent="0.2">
      <c r="A568">
        <v>181</v>
      </c>
      <c r="B568" t="s">
        <v>380</v>
      </c>
      <c r="C568" t="s">
        <v>319</v>
      </c>
      <c r="D568" t="s">
        <v>477</v>
      </c>
      <c r="E568" t="s">
        <v>1001</v>
      </c>
      <c r="F568">
        <v>2107</v>
      </c>
      <c r="G568" t="s">
        <v>18</v>
      </c>
      <c r="H568" t="s">
        <v>423</v>
      </c>
      <c r="I568" t="s">
        <v>404</v>
      </c>
      <c r="J568" t="s">
        <v>580</v>
      </c>
      <c r="K568">
        <v>4.3899999999999997</v>
      </c>
      <c r="L568" s="1" t="s">
        <v>762</v>
      </c>
      <c r="M568" t="s">
        <v>1002</v>
      </c>
      <c r="N568" s="1" t="s">
        <v>1014</v>
      </c>
      <c r="O568">
        <v>4.3899999999999997</v>
      </c>
      <c r="P568" t="s">
        <v>423</v>
      </c>
      <c r="Q568" t="s">
        <v>634</v>
      </c>
      <c r="R568" s="1" t="s">
        <v>465</v>
      </c>
      <c r="S568" s="1" t="s">
        <v>406</v>
      </c>
      <c r="T568" s="1" t="s">
        <v>406</v>
      </c>
      <c r="U568" s="1" t="s">
        <v>789</v>
      </c>
      <c r="V568" s="1" t="s">
        <v>790</v>
      </c>
    </row>
    <row r="569" spans="1:22" x14ac:dyDescent="0.2">
      <c r="A569">
        <v>181</v>
      </c>
      <c r="B569" t="s">
        <v>380</v>
      </c>
      <c r="C569" t="s">
        <v>319</v>
      </c>
      <c r="D569" t="s">
        <v>477</v>
      </c>
      <c r="E569" t="s">
        <v>1001</v>
      </c>
      <c r="F569">
        <v>2107</v>
      </c>
      <c r="G569" t="s">
        <v>19</v>
      </c>
      <c r="H569" t="s">
        <v>423</v>
      </c>
      <c r="I569" t="s">
        <v>404</v>
      </c>
      <c r="J569" t="s">
        <v>580</v>
      </c>
      <c r="K569">
        <v>49</v>
      </c>
      <c r="L569" s="1" t="s">
        <v>762</v>
      </c>
      <c r="M569" t="s">
        <v>1002</v>
      </c>
      <c r="N569" s="1" t="s">
        <v>1015</v>
      </c>
      <c r="O569">
        <v>49</v>
      </c>
      <c r="P569" t="s">
        <v>423</v>
      </c>
      <c r="Q569" t="s">
        <v>634</v>
      </c>
      <c r="R569" s="1" t="s">
        <v>465</v>
      </c>
      <c r="S569" s="1" t="s">
        <v>406</v>
      </c>
      <c r="T569" s="1" t="s">
        <v>406</v>
      </c>
      <c r="U569" s="1" t="s">
        <v>789</v>
      </c>
      <c r="V569" s="1" t="s">
        <v>790</v>
      </c>
    </row>
    <row r="570" spans="1:22" x14ac:dyDescent="0.2">
      <c r="A570">
        <v>181</v>
      </c>
      <c r="B570" t="s">
        <v>380</v>
      </c>
      <c r="C570" t="s">
        <v>319</v>
      </c>
      <c r="D570" t="s">
        <v>477</v>
      </c>
      <c r="E570" t="s">
        <v>1001</v>
      </c>
      <c r="F570">
        <v>2107</v>
      </c>
      <c r="G570" t="s">
        <v>20</v>
      </c>
      <c r="H570" t="s">
        <v>423</v>
      </c>
      <c r="I570" t="s">
        <v>404</v>
      </c>
      <c r="J570" t="s">
        <v>580</v>
      </c>
      <c r="K570">
        <v>12.415699999999999</v>
      </c>
      <c r="L570" s="1" t="s">
        <v>762</v>
      </c>
      <c r="M570" t="s">
        <v>1002</v>
      </c>
      <c r="N570" s="1" t="s">
        <v>1016</v>
      </c>
      <c r="O570">
        <v>12.415699999999999</v>
      </c>
      <c r="P570" t="s">
        <v>423</v>
      </c>
      <c r="Q570" t="s">
        <v>634</v>
      </c>
      <c r="R570" s="1" t="s">
        <v>465</v>
      </c>
      <c r="S570" s="1" t="s">
        <v>406</v>
      </c>
      <c r="T570" s="1" t="s">
        <v>406</v>
      </c>
      <c r="U570" s="1" t="s">
        <v>789</v>
      </c>
      <c r="V570" s="1" t="s">
        <v>790</v>
      </c>
    </row>
    <row r="571" spans="1:22" x14ac:dyDescent="0.2">
      <c r="A571">
        <v>181</v>
      </c>
      <c r="B571" t="s">
        <v>380</v>
      </c>
      <c r="C571" t="s">
        <v>319</v>
      </c>
      <c r="D571" t="s">
        <v>477</v>
      </c>
      <c r="E571" t="s">
        <v>1001</v>
      </c>
      <c r="F571">
        <v>2107</v>
      </c>
      <c r="G571" t="s">
        <v>21</v>
      </c>
      <c r="H571" t="s">
        <v>423</v>
      </c>
      <c r="I571" t="s">
        <v>404</v>
      </c>
      <c r="J571" t="s">
        <v>580</v>
      </c>
      <c r="K571">
        <v>0.65100000000000013</v>
      </c>
      <c r="L571" s="1" t="s">
        <v>762</v>
      </c>
      <c r="M571" t="s">
        <v>1002</v>
      </c>
      <c r="N571" s="1" t="s">
        <v>1017</v>
      </c>
      <c r="O571">
        <v>0.65100000000000013</v>
      </c>
      <c r="P571" t="s">
        <v>423</v>
      </c>
      <c r="Q571" t="s">
        <v>634</v>
      </c>
      <c r="R571" s="1" t="s">
        <v>465</v>
      </c>
      <c r="S571" s="1" t="s">
        <v>406</v>
      </c>
      <c r="T571" s="1" t="s">
        <v>406</v>
      </c>
      <c r="U571" s="1" t="s">
        <v>789</v>
      </c>
      <c r="V571" s="1" t="s">
        <v>790</v>
      </c>
    </row>
    <row r="572" spans="1:22" x14ac:dyDescent="0.2">
      <c r="A572">
        <v>181</v>
      </c>
      <c r="B572" t="s">
        <v>380</v>
      </c>
      <c r="C572" t="s">
        <v>319</v>
      </c>
      <c r="D572" t="s">
        <v>477</v>
      </c>
      <c r="E572" t="s">
        <v>1001</v>
      </c>
      <c r="F572">
        <v>2107</v>
      </c>
      <c r="G572" t="s">
        <v>22</v>
      </c>
      <c r="H572" t="s">
        <v>423</v>
      </c>
      <c r="I572" t="s">
        <v>404</v>
      </c>
      <c r="J572" t="s">
        <v>580</v>
      </c>
      <c r="K572">
        <v>42.530000000000008</v>
      </c>
      <c r="L572" s="1" t="s">
        <v>762</v>
      </c>
      <c r="M572" t="s">
        <v>1002</v>
      </c>
      <c r="N572" s="1" t="s">
        <v>1018</v>
      </c>
      <c r="O572">
        <v>42.530000000000008</v>
      </c>
      <c r="P572" t="s">
        <v>423</v>
      </c>
      <c r="Q572" t="s">
        <v>634</v>
      </c>
      <c r="R572" s="1" t="s">
        <v>465</v>
      </c>
      <c r="S572" s="1" t="s">
        <v>406</v>
      </c>
      <c r="T572" s="1" t="s">
        <v>406</v>
      </c>
      <c r="U572" s="1" t="s">
        <v>789</v>
      </c>
      <c r="V572" s="1" t="s">
        <v>790</v>
      </c>
    </row>
    <row r="573" spans="1:22" x14ac:dyDescent="0.2">
      <c r="A573">
        <v>181</v>
      </c>
      <c r="B573" t="s">
        <v>380</v>
      </c>
      <c r="C573" t="s">
        <v>319</v>
      </c>
      <c r="D573" t="s">
        <v>477</v>
      </c>
      <c r="E573" t="s">
        <v>1001</v>
      </c>
      <c r="F573">
        <v>2107</v>
      </c>
      <c r="G573" t="s">
        <v>23</v>
      </c>
      <c r="H573" t="s">
        <v>423</v>
      </c>
      <c r="I573" t="s">
        <v>404</v>
      </c>
      <c r="J573" t="s">
        <v>580</v>
      </c>
      <c r="K573">
        <v>195.607</v>
      </c>
      <c r="L573" s="1" t="s">
        <v>762</v>
      </c>
      <c r="M573" t="s">
        <v>1002</v>
      </c>
      <c r="N573" s="1" t="s">
        <v>1019</v>
      </c>
      <c r="O573">
        <v>195.607</v>
      </c>
      <c r="P573" t="s">
        <v>423</v>
      </c>
      <c r="Q573" t="s">
        <v>634</v>
      </c>
      <c r="R573" s="1" t="s">
        <v>465</v>
      </c>
      <c r="S573" s="1" t="s">
        <v>406</v>
      </c>
      <c r="T573" s="1" t="s">
        <v>406</v>
      </c>
      <c r="U573" s="1" t="s">
        <v>789</v>
      </c>
      <c r="V573" s="1" t="s">
        <v>790</v>
      </c>
    </row>
    <row r="574" spans="1:22" x14ac:dyDescent="0.2">
      <c r="A574">
        <v>181</v>
      </c>
      <c r="B574" t="s">
        <v>380</v>
      </c>
      <c r="C574" t="s">
        <v>319</v>
      </c>
      <c r="D574" t="s">
        <v>477</v>
      </c>
      <c r="E574" t="s">
        <v>1001</v>
      </c>
      <c r="F574">
        <v>2107</v>
      </c>
      <c r="G574" t="s">
        <v>24</v>
      </c>
      <c r="H574" t="s">
        <v>423</v>
      </c>
      <c r="I574" t="s">
        <v>404</v>
      </c>
      <c r="J574" t="s">
        <v>580</v>
      </c>
      <c r="K574">
        <v>17.920000000000002</v>
      </c>
      <c r="L574" s="1" t="s">
        <v>762</v>
      </c>
      <c r="M574" t="s">
        <v>1002</v>
      </c>
      <c r="N574" s="1" t="s">
        <v>1020</v>
      </c>
      <c r="O574">
        <v>17.920000000000002</v>
      </c>
      <c r="P574" t="s">
        <v>423</v>
      </c>
      <c r="Q574" t="s">
        <v>634</v>
      </c>
      <c r="R574" s="1" t="s">
        <v>465</v>
      </c>
      <c r="S574" s="1" t="s">
        <v>406</v>
      </c>
      <c r="T574" s="1" t="s">
        <v>406</v>
      </c>
      <c r="U574" s="1" t="s">
        <v>789</v>
      </c>
      <c r="V574" s="1" t="s">
        <v>790</v>
      </c>
    </row>
    <row r="575" spans="1:22" x14ac:dyDescent="0.2">
      <c r="A575">
        <v>181</v>
      </c>
      <c r="B575" t="s">
        <v>380</v>
      </c>
      <c r="C575" t="s">
        <v>319</v>
      </c>
      <c r="D575" t="s">
        <v>477</v>
      </c>
      <c r="E575" t="s">
        <v>1001</v>
      </c>
      <c r="F575">
        <v>2107</v>
      </c>
      <c r="G575" t="s">
        <v>25</v>
      </c>
      <c r="H575" t="s">
        <v>423</v>
      </c>
      <c r="I575" t="s">
        <v>404</v>
      </c>
      <c r="J575" t="s">
        <v>580</v>
      </c>
      <c r="K575">
        <v>0.42</v>
      </c>
      <c r="L575" s="1" t="s">
        <v>762</v>
      </c>
      <c r="M575" t="s">
        <v>1002</v>
      </c>
      <c r="N575" s="1" t="s">
        <v>1021</v>
      </c>
      <c r="O575">
        <v>0.42</v>
      </c>
      <c r="P575" t="s">
        <v>423</v>
      </c>
      <c r="Q575" t="s">
        <v>634</v>
      </c>
      <c r="R575" s="1" t="s">
        <v>465</v>
      </c>
      <c r="S575" s="1" t="s">
        <v>406</v>
      </c>
      <c r="T575" s="1" t="s">
        <v>406</v>
      </c>
      <c r="U575" s="1" t="s">
        <v>789</v>
      </c>
      <c r="V575" s="1" t="s">
        <v>790</v>
      </c>
    </row>
    <row r="576" spans="1:22" x14ac:dyDescent="0.2">
      <c r="A576">
        <v>181</v>
      </c>
      <c r="B576" t="s">
        <v>380</v>
      </c>
      <c r="C576" t="s">
        <v>319</v>
      </c>
      <c r="D576" t="s">
        <v>477</v>
      </c>
      <c r="E576" t="s">
        <v>1001</v>
      </c>
      <c r="F576">
        <v>2107</v>
      </c>
      <c r="G576" t="s">
        <v>26</v>
      </c>
      <c r="H576" t="s">
        <v>496</v>
      </c>
      <c r="I576" t="s">
        <v>404</v>
      </c>
      <c r="J576" t="s">
        <v>580</v>
      </c>
      <c r="K576">
        <v>83.600000000000009</v>
      </c>
      <c r="L576" s="1" t="s">
        <v>762</v>
      </c>
      <c r="M576" t="s">
        <v>1002</v>
      </c>
      <c r="N576" s="1" t="s">
        <v>1022</v>
      </c>
      <c r="O576">
        <v>83.600000000000009</v>
      </c>
      <c r="P576" t="s">
        <v>496</v>
      </c>
      <c r="Q576" t="s">
        <v>634</v>
      </c>
      <c r="R576" s="1" t="s">
        <v>465</v>
      </c>
      <c r="S576" s="1" t="s">
        <v>406</v>
      </c>
      <c r="T576" s="1" t="s">
        <v>406</v>
      </c>
      <c r="U576" s="1" t="s">
        <v>789</v>
      </c>
      <c r="V576" s="1" t="s">
        <v>811</v>
      </c>
    </row>
    <row r="577" spans="1:22" x14ac:dyDescent="0.2">
      <c r="A577">
        <v>182</v>
      </c>
      <c r="B577" t="s">
        <v>382</v>
      </c>
      <c r="C577" t="s">
        <v>319</v>
      </c>
      <c r="D577" t="s">
        <v>477</v>
      </c>
      <c r="E577" t="s">
        <v>1023</v>
      </c>
      <c r="F577">
        <v>116</v>
      </c>
      <c r="G577" t="s">
        <v>6</v>
      </c>
      <c r="H577" t="s">
        <v>493</v>
      </c>
      <c r="I577" t="s">
        <v>404</v>
      </c>
      <c r="J577" t="s">
        <v>580</v>
      </c>
      <c r="K577">
        <v>169</v>
      </c>
      <c r="L577" s="1" t="s">
        <v>931</v>
      </c>
      <c r="M577" t="s">
        <v>1024</v>
      </c>
      <c r="N577" s="1" t="s">
        <v>1025</v>
      </c>
      <c r="O577">
        <v>169</v>
      </c>
      <c r="P577" t="s">
        <v>493</v>
      </c>
      <c r="Q577" t="s">
        <v>634</v>
      </c>
      <c r="R577" s="1" t="s">
        <v>465</v>
      </c>
      <c r="S577" s="1" t="s">
        <v>406</v>
      </c>
      <c r="T577" s="1" t="s">
        <v>406</v>
      </c>
      <c r="U577" s="1" t="s">
        <v>789</v>
      </c>
      <c r="V577" s="1" t="s">
        <v>790</v>
      </c>
    </row>
    <row r="578" spans="1:22" x14ac:dyDescent="0.2">
      <c r="A578">
        <v>182</v>
      </c>
      <c r="B578" t="s">
        <v>382</v>
      </c>
      <c r="C578" t="s">
        <v>319</v>
      </c>
      <c r="D578" t="s">
        <v>477</v>
      </c>
      <c r="E578" t="s">
        <v>1023</v>
      </c>
      <c r="F578">
        <v>116</v>
      </c>
      <c r="G578" t="s">
        <v>7</v>
      </c>
      <c r="H578" t="s">
        <v>415</v>
      </c>
      <c r="I578" t="s">
        <v>404</v>
      </c>
      <c r="J578" t="s">
        <v>580</v>
      </c>
      <c r="K578">
        <v>0.23</v>
      </c>
      <c r="L578" s="1" t="s">
        <v>931</v>
      </c>
      <c r="M578" t="s">
        <v>1024</v>
      </c>
      <c r="N578" s="1" t="s">
        <v>1026</v>
      </c>
      <c r="O578">
        <v>0.23</v>
      </c>
      <c r="P578" t="s">
        <v>415</v>
      </c>
      <c r="Q578" t="s">
        <v>634</v>
      </c>
      <c r="R578" s="1" t="s">
        <v>465</v>
      </c>
      <c r="S578" s="1" t="s">
        <v>406</v>
      </c>
      <c r="T578" s="1" t="s">
        <v>406</v>
      </c>
      <c r="U578" s="1" t="s">
        <v>789</v>
      </c>
      <c r="V578" s="1" t="s">
        <v>790</v>
      </c>
    </row>
    <row r="579" spans="1:22" x14ac:dyDescent="0.2">
      <c r="A579">
        <v>182</v>
      </c>
      <c r="B579" t="s">
        <v>382</v>
      </c>
      <c r="C579" t="s">
        <v>319</v>
      </c>
      <c r="D579" t="s">
        <v>477</v>
      </c>
      <c r="E579" t="s">
        <v>1023</v>
      </c>
      <c r="F579">
        <v>116</v>
      </c>
      <c r="G579" t="s">
        <v>8</v>
      </c>
      <c r="H579" t="s">
        <v>415</v>
      </c>
      <c r="I579" t="s">
        <v>404</v>
      </c>
      <c r="J579" t="s">
        <v>580</v>
      </c>
      <c r="K579">
        <v>0</v>
      </c>
      <c r="L579" s="1" t="s">
        <v>931</v>
      </c>
      <c r="M579" t="s">
        <v>1024</v>
      </c>
      <c r="N579" s="1" t="s">
        <v>1027</v>
      </c>
      <c r="O579">
        <v>0</v>
      </c>
      <c r="P579" t="s">
        <v>415</v>
      </c>
      <c r="Q579" t="s">
        <v>634</v>
      </c>
      <c r="R579" s="1" t="s">
        <v>465</v>
      </c>
      <c r="S579" s="1" t="s">
        <v>406</v>
      </c>
      <c r="T579" s="1" t="s">
        <v>406</v>
      </c>
      <c r="U579" s="1" t="s">
        <v>789</v>
      </c>
      <c r="V579" s="1" t="s">
        <v>790</v>
      </c>
    </row>
    <row r="580" spans="1:22" ht="16" customHeight="1" x14ac:dyDescent="0.2">
      <c r="A580">
        <v>182</v>
      </c>
      <c r="B580" t="s">
        <v>382</v>
      </c>
      <c r="C580" t="s">
        <v>319</v>
      </c>
      <c r="D580" t="s">
        <v>477</v>
      </c>
      <c r="E580" t="s">
        <v>1023</v>
      </c>
      <c r="F580">
        <v>116</v>
      </c>
      <c r="G580" t="s">
        <v>9</v>
      </c>
      <c r="H580" t="s">
        <v>415</v>
      </c>
      <c r="I580" t="s">
        <v>404</v>
      </c>
      <c r="J580" t="s">
        <v>405</v>
      </c>
      <c r="K580">
        <v>0</v>
      </c>
      <c r="L580" s="11" t="s">
        <v>406</v>
      </c>
      <c r="M580" t="s">
        <v>416</v>
      </c>
      <c r="N580" s="11" t="s">
        <v>417</v>
      </c>
      <c r="O580" t="s">
        <v>418</v>
      </c>
      <c r="P580" t="s">
        <v>415</v>
      </c>
      <c r="Q580">
        <v>1</v>
      </c>
      <c r="R580" s="11" t="s">
        <v>406</v>
      </c>
      <c r="S580" s="11" t="s">
        <v>406</v>
      </c>
      <c r="T580" s="11" t="s">
        <v>406</v>
      </c>
      <c r="U580" s="11" t="s">
        <v>419</v>
      </c>
      <c r="V580" s="11" t="s">
        <v>420</v>
      </c>
    </row>
    <row r="581" spans="1:22" x14ac:dyDescent="0.2">
      <c r="A581">
        <v>182</v>
      </c>
      <c r="B581" t="s">
        <v>382</v>
      </c>
      <c r="C581" t="s">
        <v>319</v>
      </c>
      <c r="D581" t="s">
        <v>477</v>
      </c>
      <c r="E581" t="s">
        <v>1023</v>
      </c>
      <c r="F581">
        <v>116</v>
      </c>
      <c r="G581" t="s">
        <v>10</v>
      </c>
      <c r="H581" t="s">
        <v>415</v>
      </c>
      <c r="I581" t="s">
        <v>404</v>
      </c>
      <c r="J581" t="s">
        <v>580</v>
      </c>
      <c r="K581">
        <v>1.7749999999999999</v>
      </c>
      <c r="L581" s="1" t="s">
        <v>931</v>
      </c>
      <c r="M581" t="s">
        <v>1024</v>
      </c>
      <c r="N581" s="1" t="s">
        <v>1028</v>
      </c>
      <c r="O581">
        <v>1.7749999999999999</v>
      </c>
      <c r="P581" t="s">
        <v>415</v>
      </c>
      <c r="Q581" t="s">
        <v>634</v>
      </c>
      <c r="R581" s="1" t="s">
        <v>465</v>
      </c>
      <c r="S581" s="1" t="s">
        <v>406</v>
      </c>
      <c r="T581" s="1" t="s">
        <v>406</v>
      </c>
      <c r="U581" s="1" t="s">
        <v>789</v>
      </c>
      <c r="V581" s="1" t="s">
        <v>790</v>
      </c>
    </row>
    <row r="582" spans="1:22" x14ac:dyDescent="0.2">
      <c r="A582">
        <v>182</v>
      </c>
      <c r="B582" t="s">
        <v>382</v>
      </c>
      <c r="C582" t="s">
        <v>319</v>
      </c>
      <c r="D582" t="s">
        <v>477</v>
      </c>
      <c r="E582" t="s">
        <v>1023</v>
      </c>
      <c r="F582">
        <v>116</v>
      </c>
      <c r="G582" t="s">
        <v>11</v>
      </c>
      <c r="H582" t="s">
        <v>415</v>
      </c>
      <c r="I582" t="s">
        <v>404</v>
      </c>
      <c r="J582" t="s">
        <v>580</v>
      </c>
      <c r="K582">
        <v>0</v>
      </c>
      <c r="L582" s="1" t="s">
        <v>931</v>
      </c>
      <c r="M582" t="s">
        <v>1024</v>
      </c>
      <c r="N582" s="1" t="s">
        <v>1029</v>
      </c>
      <c r="O582">
        <v>0</v>
      </c>
      <c r="P582" t="s">
        <v>415</v>
      </c>
      <c r="Q582" t="s">
        <v>634</v>
      </c>
      <c r="R582" s="1" t="s">
        <v>465</v>
      </c>
      <c r="S582" s="1" t="s">
        <v>406</v>
      </c>
      <c r="T582" s="1" t="s">
        <v>406</v>
      </c>
      <c r="U582" s="1" t="s">
        <v>789</v>
      </c>
      <c r="V582" s="1" t="s">
        <v>790</v>
      </c>
    </row>
    <row r="583" spans="1:22" x14ac:dyDescent="0.2">
      <c r="A583">
        <v>182</v>
      </c>
      <c r="B583" t="s">
        <v>382</v>
      </c>
      <c r="C583" t="s">
        <v>319</v>
      </c>
      <c r="D583" t="s">
        <v>477</v>
      </c>
      <c r="E583" t="s">
        <v>1023</v>
      </c>
      <c r="F583">
        <v>116</v>
      </c>
      <c r="G583" t="s">
        <v>12</v>
      </c>
      <c r="H583" t="s">
        <v>415</v>
      </c>
      <c r="I583" t="s">
        <v>404</v>
      </c>
      <c r="J583" t="s">
        <v>580</v>
      </c>
      <c r="K583">
        <v>8.5000000000000006E-2</v>
      </c>
      <c r="L583" s="1" t="s">
        <v>931</v>
      </c>
      <c r="M583" t="s">
        <v>1024</v>
      </c>
      <c r="N583" s="1" t="s">
        <v>1030</v>
      </c>
      <c r="O583">
        <v>8.5000000000000006E-2</v>
      </c>
      <c r="P583" t="s">
        <v>415</v>
      </c>
      <c r="Q583" t="s">
        <v>634</v>
      </c>
      <c r="R583" s="1" t="s">
        <v>465</v>
      </c>
      <c r="S583" s="1" t="s">
        <v>406</v>
      </c>
      <c r="T583" s="1" t="s">
        <v>406</v>
      </c>
      <c r="U583" s="1" t="s">
        <v>789</v>
      </c>
      <c r="V583" s="1" t="s">
        <v>790</v>
      </c>
    </row>
    <row r="584" spans="1:22" x14ac:dyDescent="0.2">
      <c r="A584">
        <v>182</v>
      </c>
      <c r="B584" t="s">
        <v>382</v>
      </c>
      <c r="C584" t="s">
        <v>319</v>
      </c>
      <c r="D584" t="s">
        <v>477</v>
      </c>
      <c r="E584" t="s">
        <v>1023</v>
      </c>
      <c r="F584">
        <v>116</v>
      </c>
      <c r="G584" t="s">
        <v>13</v>
      </c>
      <c r="H584" t="s">
        <v>403</v>
      </c>
      <c r="I584" t="s">
        <v>404</v>
      </c>
      <c r="J584" t="s">
        <v>580</v>
      </c>
      <c r="K584">
        <v>0</v>
      </c>
      <c r="L584" s="1" t="s">
        <v>931</v>
      </c>
      <c r="M584" t="s">
        <v>1024</v>
      </c>
      <c r="N584" s="1" t="s">
        <v>1031</v>
      </c>
      <c r="O584">
        <v>0</v>
      </c>
      <c r="P584" t="s">
        <v>403</v>
      </c>
      <c r="Q584" t="s">
        <v>634</v>
      </c>
      <c r="R584" s="1" t="s">
        <v>465</v>
      </c>
      <c r="S584" s="1" t="s">
        <v>406</v>
      </c>
      <c r="T584" s="1" t="s">
        <v>406</v>
      </c>
      <c r="U584" s="1" t="s">
        <v>789</v>
      </c>
      <c r="V584" s="1" t="s">
        <v>790</v>
      </c>
    </row>
    <row r="585" spans="1:22" x14ac:dyDescent="0.2">
      <c r="A585">
        <v>182</v>
      </c>
      <c r="B585" t="s">
        <v>382</v>
      </c>
      <c r="C585" t="s">
        <v>319</v>
      </c>
      <c r="D585" t="s">
        <v>477</v>
      </c>
      <c r="E585" t="s">
        <v>1023</v>
      </c>
      <c r="F585">
        <v>116</v>
      </c>
      <c r="G585" t="s">
        <v>14</v>
      </c>
      <c r="H585" t="s">
        <v>403</v>
      </c>
      <c r="I585" t="s">
        <v>404</v>
      </c>
      <c r="J585" t="s">
        <v>580</v>
      </c>
      <c r="K585">
        <v>0</v>
      </c>
      <c r="L585" s="1" t="s">
        <v>931</v>
      </c>
      <c r="M585" t="s">
        <v>1024</v>
      </c>
      <c r="N585" s="1" t="s">
        <v>1032</v>
      </c>
      <c r="O585">
        <v>0</v>
      </c>
      <c r="P585" t="s">
        <v>403</v>
      </c>
      <c r="Q585" t="s">
        <v>634</v>
      </c>
      <c r="R585" s="1" t="s">
        <v>465</v>
      </c>
      <c r="S585" s="1" t="s">
        <v>406</v>
      </c>
      <c r="T585" s="1" t="s">
        <v>406</v>
      </c>
      <c r="U585" s="1" t="s">
        <v>789</v>
      </c>
      <c r="V585" s="1" t="s">
        <v>790</v>
      </c>
    </row>
    <row r="586" spans="1:22" x14ac:dyDescent="0.2">
      <c r="A586">
        <v>182</v>
      </c>
      <c r="B586" t="s">
        <v>382</v>
      </c>
      <c r="C586" t="s">
        <v>319</v>
      </c>
      <c r="D586" t="s">
        <v>477</v>
      </c>
      <c r="E586" t="s">
        <v>1023</v>
      </c>
      <c r="F586">
        <v>116</v>
      </c>
      <c r="G586" t="s">
        <v>15</v>
      </c>
      <c r="H586" t="s">
        <v>423</v>
      </c>
      <c r="I586" t="s">
        <v>404</v>
      </c>
      <c r="J586" t="s">
        <v>580</v>
      </c>
      <c r="K586">
        <v>5.4999999999999997E-3</v>
      </c>
      <c r="L586" s="1" t="s">
        <v>931</v>
      </c>
      <c r="M586" t="s">
        <v>1024</v>
      </c>
      <c r="N586" s="1" t="s">
        <v>1033</v>
      </c>
      <c r="O586">
        <v>5.4999999999999997E-3</v>
      </c>
      <c r="P586" t="s">
        <v>423</v>
      </c>
      <c r="Q586" t="s">
        <v>634</v>
      </c>
      <c r="R586" s="1" t="s">
        <v>465</v>
      </c>
      <c r="S586" s="1" t="s">
        <v>406</v>
      </c>
      <c r="T586" s="1" t="s">
        <v>406</v>
      </c>
      <c r="U586" s="1" t="s">
        <v>789</v>
      </c>
      <c r="V586" s="1" t="s">
        <v>790</v>
      </c>
    </row>
    <row r="587" spans="1:22" x14ac:dyDescent="0.2">
      <c r="A587">
        <v>182</v>
      </c>
      <c r="B587" t="s">
        <v>382</v>
      </c>
      <c r="C587" t="s">
        <v>319</v>
      </c>
      <c r="D587" t="s">
        <v>477</v>
      </c>
      <c r="E587" t="s">
        <v>1023</v>
      </c>
      <c r="F587">
        <v>116</v>
      </c>
      <c r="G587" t="s">
        <v>16</v>
      </c>
      <c r="H587" t="s">
        <v>423</v>
      </c>
      <c r="I587" t="s">
        <v>404</v>
      </c>
      <c r="J587" t="s">
        <v>580</v>
      </c>
      <c r="K587">
        <v>1.4500000000000001E-2</v>
      </c>
      <c r="L587" s="1" t="s">
        <v>931</v>
      </c>
      <c r="M587" t="s">
        <v>1024</v>
      </c>
      <c r="N587" s="1" t="s">
        <v>1034</v>
      </c>
      <c r="O587">
        <v>1.4500000000000001E-2</v>
      </c>
      <c r="P587" t="s">
        <v>423</v>
      </c>
      <c r="Q587" t="s">
        <v>634</v>
      </c>
      <c r="R587" s="1" t="s">
        <v>465</v>
      </c>
      <c r="S587" s="1" t="s">
        <v>406</v>
      </c>
      <c r="T587" s="1" t="s">
        <v>406</v>
      </c>
      <c r="U587" s="1" t="s">
        <v>789</v>
      </c>
      <c r="V587" s="1" t="s">
        <v>790</v>
      </c>
    </row>
    <row r="588" spans="1:22" x14ac:dyDescent="0.2">
      <c r="A588">
        <v>182</v>
      </c>
      <c r="B588" t="s">
        <v>382</v>
      </c>
      <c r="C588" t="s">
        <v>319</v>
      </c>
      <c r="D588" t="s">
        <v>477</v>
      </c>
      <c r="E588" t="s">
        <v>1023</v>
      </c>
      <c r="F588">
        <v>116</v>
      </c>
      <c r="G588" t="s">
        <v>17</v>
      </c>
      <c r="H588" t="s">
        <v>423</v>
      </c>
      <c r="I588" t="s">
        <v>404</v>
      </c>
      <c r="J588" t="s">
        <v>580</v>
      </c>
      <c r="K588">
        <v>0.26300000000000001</v>
      </c>
      <c r="L588" s="1" t="s">
        <v>931</v>
      </c>
      <c r="M588" t="s">
        <v>1024</v>
      </c>
      <c r="N588" s="1" t="s">
        <v>1035</v>
      </c>
      <c r="O588">
        <v>0.26300000000000001</v>
      </c>
      <c r="P588" t="s">
        <v>423</v>
      </c>
      <c r="Q588" t="s">
        <v>634</v>
      </c>
      <c r="R588" s="1" t="s">
        <v>465</v>
      </c>
      <c r="S588" s="1" t="s">
        <v>406</v>
      </c>
      <c r="T588" s="1" t="s">
        <v>406</v>
      </c>
      <c r="U588" s="1" t="s">
        <v>789</v>
      </c>
      <c r="V588" s="1" t="s">
        <v>790</v>
      </c>
    </row>
    <row r="589" spans="1:22" x14ac:dyDescent="0.2">
      <c r="A589">
        <v>182</v>
      </c>
      <c r="B589" t="s">
        <v>382</v>
      </c>
      <c r="C589" t="s">
        <v>319</v>
      </c>
      <c r="D589" t="s">
        <v>477</v>
      </c>
      <c r="E589" t="s">
        <v>1023</v>
      </c>
      <c r="F589">
        <v>116</v>
      </c>
      <c r="G589" t="s">
        <v>18</v>
      </c>
      <c r="H589" t="s">
        <v>423</v>
      </c>
      <c r="I589" t="s">
        <v>404</v>
      </c>
      <c r="J589" t="s">
        <v>580</v>
      </c>
      <c r="K589">
        <v>0</v>
      </c>
      <c r="L589" s="1" t="s">
        <v>931</v>
      </c>
      <c r="M589" t="s">
        <v>1024</v>
      </c>
      <c r="N589" s="1" t="s">
        <v>1036</v>
      </c>
      <c r="O589">
        <v>0</v>
      </c>
      <c r="P589" t="s">
        <v>423</v>
      </c>
      <c r="Q589" t="s">
        <v>634</v>
      </c>
      <c r="R589" s="1" t="s">
        <v>465</v>
      </c>
      <c r="S589" s="1" t="s">
        <v>406</v>
      </c>
      <c r="T589" s="1" t="s">
        <v>406</v>
      </c>
      <c r="U589" s="1" t="s">
        <v>789</v>
      </c>
      <c r="V589" s="1" t="s">
        <v>790</v>
      </c>
    </row>
    <row r="590" spans="1:22" x14ac:dyDescent="0.2">
      <c r="A590">
        <v>182</v>
      </c>
      <c r="B590" t="s">
        <v>382</v>
      </c>
      <c r="C590" t="s">
        <v>319</v>
      </c>
      <c r="D590" t="s">
        <v>477</v>
      </c>
      <c r="E590" t="s">
        <v>1023</v>
      </c>
      <c r="F590">
        <v>116</v>
      </c>
      <c r="G590" t="s">
        <v>19</v>
      </c>
      <c r="H590" t="s">
        <v>423</v>
      </c>
      <c r="I590" t="s">
        <v>404</v>
      </c>
      <c r="J590" t="s">
        <v>580</v>
      </c>
      <c r="K590">
        <v>2</v>
      </c>
      <c r="L590" s="1" t="s">
        <v>931</v>
      </c>
      <c r="M590" t="s">
        <v>1024</v>
      </c>
      <c r="N590" s="1" t="s">
        <v>1037</v>
      </c>
      <c r="O590">
        <v>2</v>
      </c>
      <c r="P590" t="s">
        <v>423</v>
      </c>
      <c r="Q590" t="s">
        <v>634</v>
      </c>
      <c r="R590" s="1" t="s">
        <v>465</v>
      </c>
      <c r="S590" s="1" t="s">
        <v>406</v>
      </c>
      <c r="T590" s="1" t="s">
        <v>406</v>
      </c>
      <c r="U590" s="1" t="s">
        <v>789</v>
      </c>
      <c r="V590" s="1" t="s">
        <v>790</v>
      </c>
    </row>
    <row r="591" spans="1:22" x14ac:dyDescent="0.2">
      <c r="A591">
        <v>182</v>
      </c>
      <c r="B591" t="s">
        <v>382</v>
      </c>
      <c r="C591" t="s">
        <v>319</v>
      </c>
      <c r="D591" t="s">
        <v>477</v>
      </c>
      <c r="E591" t="s">
        <v>1023</v>
      </c>
      <c r="F591">
        <v>116</v>
      </c>
      <c r="G591" t="s">
        <v>20</v>
      </c>
      <c r="H591" t="s">
        <v>423</v>
      </c>
      <c r="I591" t="s">
        <v>404</v>
      </c>
      <c r="J591" t="s">
        <v>580</v>
      </c>
      <c r="K591">
        <v>1.2999999999999999E-2</v>
      </c>
      <c r="L591" s="1" t="s">
        <v>931</v>
      </c>
      <c r="M591" t="s">
        <v>1024</v>
      </c>
      <c r="N591" s="1" t="s">
        <v>1038</v>
      </c>
      <c r="O591">
        <v>1.2999999999999999E-2</v>
      </c>
      <c r="P591" t="s">
        <v>423</v>
      </c>
      <c r="Q591" t="s">
        <v>634</v>
      </c>
      <c r="R591" s="1" t="s">
        <v>465</v>
      </c>
      <c r="S591" s="1" t="s">
        <v>406</v>
      </c>
      <c r="T591" s="1" t="s">
        <v>406</v>
      </c>
      <c r="U591" s="1" t="s">
        <v>789</v>
      </c>
      <c r="V591" s="1" t="s">
        <v>790</v>
      </c>
    </row>
    <row r="592" spans="1:22" x14ac:dyDescent="0.2">
      <c r="A592">
        <v>182</v>
      </c>
      <c r="B592" t="s">
        <v>382</v>
      </c>
      <c r="C592" t="s">
        <v>319</v>
      </c>
      <c r="D592" t="s">
        <v>477</v>
      </c>
      <c r="E592" t="s">
        <v>1023</v>
      </c>
      <c r="F592">
        <v>116</v>
      </c>
      <c r="G592" t="s">
        <v>21</v>
      </c>
      <c r="H592" t="s">
        <v>423</v>
      </c>
      <c r="I592" t="s">
        <v>404</v>
      </c>
      <c r="J592" t="s">
        <v>580</v>
      </c>
      <c r="K592">
        <v>0.03</v>
      </c>
      <c r="L592" s="1" t="s">
        <v>931</v>
      </c>
      <c r="M592" t="s">
        <v>1024</v>
      </c>
      <c r="N592" s="1" t="s">
        <v>1039</v>
      </c>
      <c r="O592">
        <v>0.03</v>
      </c>
      <c r="P592" t="s">
        <v>423</v>
      </c>
      <c r="Q592" t="s">
        <v>634</v>
      </c>
      <c r="R592" s="1" t="s">
        <v>465</v>
      </c>
      <c r="S592" s="1" t="s">
        <v>406</v>
      </c>
      <c r="T592" s="1" t="s">
        <v>406</v>
      </c>
      <c r="U592" s="1" t="s">
        <v>789</v>
      </c>
      <c r="V592" s="1" t="s">
        <v>790</v>
      </c>
    </row>
    <row r="593" spans="1:22" x14ac:dyDescent="0.2">
      <c r="A593">
        <v>182</v>
      </c>
      <c r="B593" t="s">
        <v>382</v>
      </c>
      <c r="C593" t="s">
        <v>319</v>
      </c>
      <c r="D593" t="s">
        <v>477</v>
      </c>
      <c r="E593" t="s">
        <v>1023</v>
      </c>
      <c r="F593">
        <v>116</v>
      </c>
      <c r="G593" t="s">
        <v>22</v>
      </c>
      <c r="H593" t="s">
        <v>423</v>
      </c>
      <c r="I593" t="s">
        <v>404</v>
      </c>
      <c r="J593" t="s">
        <v>580</v>
      </c>
      <c r="K593">
        <v>9</v>
      </c>
      <c r="L593" s="1" t="s">
        <v>931</v>
      </c>
      <c r="M593" t="s">
        <v>1024</v>
      </c>
      <c r="N593" s="1" t="s">
        <v>1040</v>
      </c>
      <c r="O593">
        <v>9</v>
      </c>
      <c r="P593" t="s">
        <v>423</v>
      </c>
      <c r="Q593" t="s">
        <v>634</v>
      </c>
      <c r="R593" s="1" t="s">
        <v>465</v>
      </c>
      <c r="S593" s="1" t="s">
        <v>406</v>
      </c>
      <c r="T593" s="1" t="s">
        <v>406</v>
      </c>
      <c r="U593" s="1" t="s">
        <v>789</v>
      </c>
      <c r="V593" s="1" t="s">
        <v>790</v>
      </c>
    </row>
    <row r="594" spans="1:22" x14ac:dyDescent="0.2">
      <c r="A594">
        <v>182</v>
      </c>
      <c r="B594" t="s">
        <v>382</v>
      </c>
      <c r="C594" t="s">
        <v>319</v>
      </c>
      <c r="D594" t="s">
        <v>477</v>
      </c>
      <c r="E594" t="s">
        <v>1023</v>
      </c>
      <c r="F594">
        <v>116</v>
      </c>
      <c r="G594" t="s">
        <v>23</v>
      </c>
      <c r="H594" t="s">
        <v>423</v>
      </c>
      <c r="I594" t="s">
        <v>404</v>
      </c>
      <c r="J594" t="s">
        <v>580</v>
      </c>
      <c r="K594">
        <v>14.5</v>
      </c>
      <c r="L594" s="1" t="s">
        <v>931</v>
      </c>
      <c r="M594" t="s">
        <v>1024</v>
      </c>
      <c r="N594" s="1" t="s">
        <v>1041</v>
      </c>
      <c r="O594">
        <v>14.5</v>
      </c>
      <c r="P594" t="s">
        <v>423</v>
      </c>
      <c r="Q594" t="s">
        <v>634</v>
      </c>
      <c r="R594" s="1" t="s">
        <v>465</v>
      </c>
      <c r="S594" s="1" t="s">
        <v>406</v>
      </c>
      <c r="T594" s="1" t="s">
        <v>406</v>
      </c>
      <c r="U594" s="1" t="s">
        <v>789</v>
      </c>
      <c r="V594" s="1" t="s">
        <v>790</v>
      </c>
    </row>
    <row r="595" spans="1:22" x14ac:dyDescent="0.2">
      <c r="A595">
        <v>182</v>
      </c>
      <c r="B595" t="s">
        <v>382</v>
      </c>
      <c r="C595" t="s">
        <v>319</v>
      </c>
      <c r="D595" t="s">
        <v>477</v>
      </c>
      <c r="E595" t="s">
        <v>1023</v>
      </c>
      <c r="F595">
        <v>116</v>
      </c>
      <c r="G595" t="s">
        <v>24</v>
      </c>
      <c r="H595" t="s">
        <v>423</v>
      </c>
      <c r="I595" t="s">
        <v>404</v>
      </c>
      <c r="J595" t="s">
        <v>580</v>
      </c>
      <c r="K595">
        <v>2.5</v>
      </c>
      <c r="L595" s="1" t="s">
        <v>931</v>
      </c>
      <c r="M595" t="s">
        <v>1024</v>
      </c>
      <c r="N595" s="1" t="s">
        <v>1042</v>
      </c>
      <c r="O595">
        <v>2.5</v>
      </c>
      <c r="P595" t="s">
        <v>423</v>
      </c>
      <c r="Q595" t="s">
        <v>634</v>
      </c>
      <c r="R595" s="1" t="s">
        <v>465</v>
      </c>
      <c r="S595" s="1" t="s">
        <v>406</v>
      </c>
      <c r="T595" s="1" t="s">
        <v>406</v>
      </c>
      <c r="U595" s="1" t="s">
        <v>789</v>
      </c>
      <c r="V595" s="1" t="s">
        <v>790</v>
      </c>
    </row>
    <row r="596" spans="1:22" x14ac:dyDescent="0.2">
      <c r="A596">
        <v>182</v>
      </c>
      <c r="B596" t="s">
        <v>382</v>
      </c>
      <c r="C596" t="s">
        <v>319</v>
      </c>
      <c r="D596" t="s">
        <v>477</v>
      </c>
      <c r="E596" t="s">
        <v>1023</v>
      </c>
      <c r="F596">
        <v>116</v>
      </c>
      <c r="G596" t="s">
        <v>25</v>
      </c>
      <c r="H596" t="s">
        <v>423</v>
      </c>
      <c r="I596" t="s">
        <v>404</v>
      </c>
      <c r="J596" t="s">
        <v>580</v>
      </c>
      <c r="K596">
        <v>2.5000000000000001E-2</v>
      </c>
      <c r="L596" s="1" t="s">
        <v>931</v>
      </c>
      <c r="M596" t="s">
        <v>1024</v>
      </c>
      <c r="N596" s="1" t="s">
        <v>1043</v>
      </c>
      <c r="O596">
        <v>2.5000000000000001E-2</v>
      </c>
      <c r="P596" t="s">
        <v>423</v>
      </c>
      <c r="Q596" t="s">
        <v>634</v>
      </c>
      <c r="R596" s="1" t="s">
        <v>465</v>
      </c>
      <c r="S596" s="1" t="s">
        <v>406</v>
      </c>
      <c r="T596" s="1" t="s">
        <v>406</v>
      </c>
      <c r="U596" s="1" t="s">
        <v>789</v>
      </c>
      <c r="V596" s="1" t="s">
        <v>790</v>
      </c>
    </row>
    <row r="597" spans="1:22" x14ac:dyDescent="0.2">
      <c r="A597">
        <v>182</v>
      </c>
      <c r="B597" t="s">
        <v>382</v>
      </c>
      <c r="C597" t="s">
        <v>319</v>
      </c>
      <c r="D597" t="s">
        <v>477</v>
      </c>
      <c r="E597" t="s">
        <v>1023</v>
      </c>
      <c r="F597">
        <v>116</v>
      </c>
      <c r="G597" t="s">
        <v>26</v>
      </c>
      <c r="H597" t="s">
        <v>496</v>
      </c>
      <c r="I597" t="s">
        <v>404</v>
      </c>
      <c r="J597" t="s">
        <v>580</v>
      </c>
      <c r="K597">
        <v>100</v>
      </c>
      <c r="L597" s="1" t="s">
        <v>931</v>
      </c>
      <c r="M597" t="s">
        <v>1024</v>
      </c>
      <c r="N597" s="1" t="s">
        <v>1044</v>
      </c>
      <c r="O597">
        <v>100</v>
      </c>
      <c r="P597" t="s">
        <v>496</v>
      </c>
      <c r="Q597" t="s">
        <v>634</v>
      </c>
      <c r="R597" s="1" t="s">
        <v>465</v>
      </c>
      <c r="S597" s="1" t="s">
        <v>406</v>
      </c>
      <c r="T597" s="1" t="s">
        <v>406</v>
      </c>
      <c r="U597" s="1" t="s">
        <v>789</v>
      </c>
      <c r="V597" s="1" t="s">
        <v>811</v>
      </c>
    </row>
    <row r="598" spans="1:22" x14ac:dyDescent="0.2">
      <c r="A598">
        <v>147</v>
      </c>
      <c r="B598" t="s">
        <v>312</v>
      </c>
      <c r="C598" t="s">
        <v>310</v>
      </c>
      <c r="D598" t="s">
        <v>31</v>
      </c>
      <c r="E598" t="s">
        <v>564</v>
      </c>
      <c r="F598">
        <v>3172</v>
      </c>
      <c r="G598" t="s">
        <v>26</v>
      </c>
      <c r="H598" t="s">
        <v>496</v>
      </c>
      <c r="I598" t="s">
        <v>404</v>
      </c>
      <c r="J598" t="s">
        <v>424</v>
      </c>
      <c r="K598">
        <v>100</v>
      </c>
      <c r="L598" s="1" t="s">
        <v>406</v>
      </c>
      <c r="M598" t="s">
        <v>592</v>
      </c>
      <c r="N598" s="1" t="s">
        <v>497</v>
      </c>
      <c r="O598" t="s">
        <v>498</v>
      </c>
      <c r="P598" t="s">
        <v>496</v>
      </c>
      <c r="Q598">
        <v>1</v>
      </c>
      <c r="R598" s="1" t="s">
        <v>406</v>
      </c>
      <c r="S598" s="1" t="s">
        <v>406</v>
      </c>
      <c r="T598" s="1" t="s">
        <v>406</v>
      </c>
      <c r="U598" s="1" t="s">
        <v>1045</v>
      </c>
      <c r="V598" s="1" t="s">
        <v>1046</v>
      </c>
    </row>
    <row r="599" spans="1:22" x14ac:dyDescent="0.2">
      <c r="A599">
        <v>149</v>
      </c>
      <c r="B599" t="s">
        <v>316</v>
      </c>
      <c r="C599" t="s">
        <v>310</v>
      </c>
      <c r="D599" t="s">
        <v>1591</v>
      </c>
      <c r="E599" t="s">
        <v>1575</v>
      </c>
      <c r="F599">
        <v>116</v>
      </c>
      <c r="G599" t="s">
        <v>26</v>
      </c>
      <c r="H599" t="s">
        <v>496</v>
      </c>
      <c r="I599" t="s">
        <v>404</v>
      </c>
      <c r="J599" t="s">
        <v>424</v>
      </c>
      <c r="K599">
        <v>100</v>
      </c>
      <c r="L599" s="1" t="s">
        <v>406</v>
      </c>
      <c r="M599" t="s">
        <v>592</v>
      </c>
      <c r="N599" s="1" t="s">
        <v>497</v>
      </c>
      <c r="O599" t="s">
        <v>498</v>
      </c>
      <c r="P599" t="s">
        <v>496</v>
      </c>
      <c r="Q599">
        <v>1</v>
      </c>
      <c r="R599" s="1" t="s">
        <v>406</v>
      </c>
      <c r="S599" s="1" t="s">
        <v>406</v>
      </c>
      <c r="T599" s="1" t="s">
        <v>406</v>
      </c>
      <c r="U599" s="1" t="s">
        <v>1582</v>
      </c>
      <c r="V599" s="1" t="s">
        <v>1581</v>
      </c>
    </row>
    <row r="600" spans="1:22" x14ac:dyDescent="0.2">
      <c r="A600">
        <v>177</v>
      </c>
      <c r="B600" t="s">
        <v>371</v>
      </c>
      <c r="C600" t="s">
        <v>319</v>
      </c>
      <c r="D600" t="s">
        <v>1591</v>
      </c>
      <c r="E600" t="s">
        <v>1576</v>
      </c>
      <c r="F600">
        <v>388</v>
      </c>
      <c r="G600" t="s">
        <v>26</v>
      </c>
      <c r="H600" t="s">
        <v>496</v>
      </c>
      <c r="I600" t="s">
        <v>404</v>
      </c>
      <c r="J600" t="s">
        <v>424</v>
      </c>
      <c r="K600">
        <v>100</v>
      </c>
      <c r="L600" s="1" t="s">
        <v>406</v>
      </c>
      <c r="M600" t="s">
        <v>592</v>
      </c>
      <c r="N600" s="1" t="s">
        <v>497</v>
      </c>
      <c r="O600" t="s">
        <v>498</v>
      </c>
      <c r="P600" t="s">
        <v>496</v>
      </c>
      <c r="Q600">
        <v>1</v>
      </c>
      <c r="R600" s="1" t="s">
        <v>406</v>
      </c>
      <c r="S600" s="1" t="s">
        <v>406</v>
      </c>
      <c r="T600" s="1" t="s">
        <v>406</v>
      </c>
      <c r="U600" s="1" t="s">
        <v>1582</v>
      </c>
      <c r="V600" s="1" t="s">
        <v>593</v>
      </c>
    </row>
    <row r="601" spans="1:22" ht="16" customHeight="1" x14ac:dyDescent="0.2">
      <c r="A601">
        <v>2</v>
      </c>
      <c r="B601" t="s">
        <v>30</v>
      </c>
      <c r="C601" t="s">
        <v>27</v>
      </c>
      <c r="D601" t="s">
        <v>31</v>
      </c>
      <c r="E601" t="s">
        <v>1047</v>
      </c>
      <c r="F601">
        <v>5200</v>
      </c>
      <c r="G601" t="s">
        <v>9</v>
      </c>
      <c r="H601" t="s">
        <v>415</v>
      </c>
      <c r="I601" t="s">
        <v>404</v>
      </c>
      <c r="J601" t="s">
        <v>405</v>
      </c>
      <c r="K601">
        <v>0</v>
      </c>
      <c r="L601" s="11" t="s">
        <v>406</v>
      </c>
      <c r="M601" t="s">
        <v>416</v>
      </c>
      <c r="N601" s="11" t="s">
        <v>417</v>
      </c>
      <c r="O601" t="s">
        <v>418</v>
      </c>
      <c r="P601" t="s">
        <v>415</v>
      </c>
      <c r="Q601">
        <v>1</v>
      </c>
      <c r="R601" s="11" t="s">
        <v>406</v>
      </c>
      <c r="S601" s="11" t="s">
        <v>406</v>
      </c>
      <c r="T601" s="11" t="s">
        <v>406</v>
      </c>
      <c r="U601" s="11" t="s">
        <v>419</v>
      </c>
      <c r="V601" s="11" t="s">
        <v>420</v>
      </c>
    </row>
    <row r="602" spans="1:22" ht="16" customHeight="1" x14ac:dyDescent="0.2">
      <c r="A602">
        <v>3</v>
      </c>
      <c r="B602" t="s">
        <v>33</v>
      </c>
      <c r="C602" t="s">
        <v>27</v>
      </c>
      <c r="D602" t="s">
        <v>31</v>
      </c>
      <c r="E602" t="s">
        <v>1048</v>
      </c>
      <c r="F602">
        <v>19</v>
      </c>
      <c r="G602" t="s">
        <v>9</v>
      </c>
      <c r="H602" t="s">
        <v>415</v>
      </c>
      <c r="I602" t="s">
        <v>404</v>
      </c>
      <c r="J602" t="s">
        <v>405</v>
      </c>
      <c r="K602">
        <v>0</v>
      </c>
      <c r="L602" s="11" t="s">
        <v>406</v>
      </c>
      <c r="M602" t="s">
        <v>416</v>
      </c>
      <c r="N602" s="11" t="s">
        <v>417</v>
      </c>
      <c r="O602" t="s">
        <v>418</v>
      </c>
      <c r="P602" t="s">
        <v>415</v>
      </c>
      <c r="Q602">
        <v>1</v>
      </c>
      <c r="R602" s="11" t="s">
        <v>406</v>
      </c>
      <c r="S602" s="11" t="s">
        <v>406</v>
      </c>
      <c r="T602" s="11" t="s">
        <v>406</v>
      </c>
      <c r="U602" s="11" t="s">
        <v>419</v>
      </c>
      <c r="V602" s="11" t="s">
        <v>420</v>
      </c>
    </row>
    <row r="603" spans="1:22" ht="16" customHeight="1" x14ac:dyDescent="0.2">
      <c r="A603">
        <v>4</v>
      </c>
      <c r="B603" t="s">
        <v>35</v>
      </c>
      <c r="C603" t="s">
        <v>27</v>
      </c>
      <c r="D603" t="s">
        <v>31</v>
      </c>
      <c r="E603" t="s">
        <v>1049</v>
      </c>
      <c r="F603">
        <v>231</v>
      </c>
      <c r="G603" t="s">
        <v>9</v>
      </c>
      <c r="H603" t="s">
        <v>415</v>
      </c>
      <c r="I603" t="s">
        <v>404</v>
      </c>
      <c r="J603" t="s">
        <v>405</v>
      </c>
      <c r="K603">
        <v>0</v>
      </c>
      <c r="L603" s="11" t="s">
        <v>406</v>
      </c>
      <c r="M603" t="s">
        <v>416</v>
      </c>
      <c r="N603" s="11" t="s">
        <v>417</v>
      </c>
      <c r="O603" t="s">
        <v>418</v>
      </c>
      <c r="P603" t="s">
        <v>415</v>
      </c>
      <c r="Q603">
        <v>1</v>
      </c>
      <c r="R603" s="11" t="s">
        <v>406</v>
      </c>
      <c r="S603" s="11" t="s">
        <v>406</v>
      </c>
      <c r="T603" s="11" t="s">
        <v>406</v>
      </c>
      <c r="U603" s="11" t="s">
        <v>419</v>
      </c>
      <c r="V603" s="11" t="s">
        <v>420</v>
      </c>
    </row>
    <row r="604" spans="1:22" ht="16" customHeight="1" x14ac:dyDescent="0.2">
      <c r="A604">
        <v>6</v>
      </c>
      <c r="B604" t="s">
        <v>39</v>
      </c>
      <c r="C604" t="s">
        <v>27</v>
      </c>
      <c r="D604" t="s">
        <v>31</v>
      </c>
      <c r="E604" t="s">
        <v>1050</v>
      </c>
      <c r="F604">
        <v>976</v>
      </c>
      <c r="G604" t="s">
        <v>9</v>
      </c>
      <c r="H604" t="s">
        <v>415</v>
      </c>
      <c r="I604" t="s">
        <v>404</v>
      </c>
      <c r="J604" t="s">
        <v>405</v>
      </c>
      <c r="K604">
        <v>0</v>
      </c>
      <c r="L604" s="11" t="s">
        <v>406</v>
      </c>
      <c r="M604" t="s">
        <v>416</v>
      </c>
      <c r="N604" s="11" t="s">
        <v>417</v>
      </c>
      <c r="O604" t="s">
        <v>418</v>
      </c>
      <c r="P604" t="s">
        <v>415</v>
      </c>
      <c r="Q604">
        <v>1</v>
      </c>
      <c r="R604" s="11" t="s">
        <v>406</v>
      </c>
      <c r="S604" s="11" t="s">
        <v>406</v>
      </c>
      <c r="T604" s="11" t="s">
        <v>406</v>
      </c>
      <c r="U604" s="11" t="s">
        <v>419</v>
      </c>
      <c r="V604" s="11" t="s">
        <v>420</v>
      </c>
    </row>
    <row r="605" spans="1:22" ht="16" customHeight="1" x14ac:dyDescent="0.2">
      <c r="A605">
        <v>7</v>
      </c>
      <c r="B605" t="s">
        <v>41</v>
      </c>
      <c r="C605" t="s">
        <v>27</v>
      </c>
      <c r="D605" t="s">
        <v>31</v>
      </c>
      <c r="E605" t="s">
        <v>1051</v>
      </c>
      <c r="F605">
        <v>1</v>
      </c>
      <c r="G605" t="s">
        <v>9</v>
      </c>
      <c r="H605" t="s">
        <v>415</v>
      </c>
      <c r="I605" t="s">
        <v>404</v>
      </c>
      <c r="J605" t="s">
        <v>405</v>
      </c>
      <c r="K605">
        <v>0</v>
      </c>
      <c r="L605" s="11" t="s">
        <v>406</v>
      </c>
      <c r="M605" t="s">
        <v>416</v>
      </c>
      <c r="N605" s="11" t="s">
        <v>417</v>
      </c>
      <c r="O605" t="s">
        <v>418</v>
      </c>
      <c r="P605" t="s">
        <v>415</v>
      </c>
      <c r="Q605">
        <v>1</v>
      </c>
      <c r="R605" s="11" t="s">
        <v>406</v>
      </c>
      <c r="S605" s="11" t="s">
        <v>406</v>
      </c>
      <c r="T605" s="11" t="s">
        <v>406</v>
      </c>
      <c r="U605" s="11" t="s">
        <v>419</v>
      </c>
      <c r="V605" s="11" t="s">
        <v>420</v>
      </c>
    </row>
    <row r="606" spans="1:22" ht="16" customHeight="1" x14ac:dyDescent="0.2">
      <c r="A606">
        <v>9</v>
      </c>
      <c r="B606" t="s">
        <v>44</v>
      </c>
      <c r="C606" t="s">
        <v>42</v>
      </c>
      <c r="D606" t="s">
        <v>31</v>
      </c>
      <c r="E606" t="s">
        <v>1052</v>
      </c>
      <c r="F606">
        <v>2488</v>
      </c>
      <c r="G606" t="s">
        <v>9</v>
      </c>
      <c r="H606" t="s">
        <v>415</v>
      </c>
      <c r="I606" t="s">
        <v>404</v>
      </c>
      <c r="J606" t="s">
        <v>405</v>
      </c>
      <c r="K606">
        <v>0</v>
      </c>
      <c r="L606" s="11" t="s">
        <v>406</v>
      </c>
      <c r="M606" t="s">
        <v>416</v>
      </c>
      <c r="N606" s="11" t="s">
        <v>417</v>
      </c>
      <c r="O606" t="s">
        <v>418</v>
      </c>
      <c r="P606" t="s">
        <v>415</v>
      </c>
      <c r="Q606">
        <v>1</v>
      </c>
      <c r="R606" s="11" t="s">
        <v>406</v>
      </c>
      <c r="S606" s="11" t="s">
        <v>406</v>
      </c>
      <c r="T606" s="11" t="s">
        <v>406</v>
      </c>
      <c r="U606" s="11" t="s">
        <v>419</v>
      </c>
      <c r="V606" s="11" t="s">
        <v>420</v>
      </c>
    </row>
    <row r="607" spans="1:22" ht="16" customHeight="1" x14ac:dyDescent="0.2">
      <c r="A607">
        <v>10</v>
      </c>
      <c r="B607" t="s">
        <v>46</v>
      </c>
      <c r="C607" t="s">
        <v>42</v>
      </c>
      <c r="D607" t="s">
        <v>31</v>
      </c>
      <c r="E607" t="s">
        <v>1053</v>
      </c>
      <c r="F607">
        <v>858</v>
      </c>
      <c r="G607" t="s">
        <v>9</v>
      </c>
      <c r="H607" t="s">
        <v>415</v>
      </c>
      <c r="I607" t="s">
        <v>404</v>
      </c>
      <c r="J607" t="s">
        <v>405</v>
      </c>
      <c r="K607">
        <v>0</v>
      </c>
      <c r="L607" s="11" t="s">
        <v>406</v>
      </c>
      <c r="M607" t="s">
        <v>416</v>
      </c>
      <c r="N607" s="11" t="s">
        <v>417</v>
      </c>
      <c r="O607" t="s">
        <v>418</v>
      </c>
      <c r="P607" t="s">
        <v>415</v>
      </c>
      <c r="Q607">
        <v>1</v>
      </c>
      <c r="R607" s="11" t="s">
        <v>406</v>
      </c>
      <c r="S607" s="11" t="s">
        <v>406</v>
      </c>
      <c r="T607" s="11" t="s">
        <v>406</v>
      </c>
      <c r="U607" s="11" t="s">
        <v>419</v>
      </c>
      <c r="V607" s="11" t="s">
        <v>420</v>
      </c>
    </row>
    <row r="608" spans="1:22" ht="16" customHeight="1" x14ac:dyDescent="0.2">
      <c r="A608">
        <v>11</v>
      </c>
      <c r="B608" t="s">
        <v>48</v>
      </c>
      <c r="C608" t="s">
        <v>42</v>
      </c>
      <c r="D608" t="s">
        <v>31</v>
      </c>
      <c r="E608" t="s">
        <v>1054</v>
      </c>
      <c r="F608">
        <v>1017</v>
      </c>
      <c r="G608" t="s">
        <v>9</v>
      </c>
      <c r="H608" t="s">
        <v>415</v>
      </c>
      <c r="I608" t="s">
        <v>404</v>
      </c>
      <c r="J608" t="s">
        <v>405</v>
      </c>
      <c r="K608">
        <v>0</v>
      </c>
      <c r="L608" s="11" t="s">
        <v>406</v>
      </c>
      <c r="M608" t="s">
        <v>416</v>
      </c>
      <c r="N608" s="11" t="s">
        <v>417</v>
      </c>
      <c r="O608" t="s">
        <v>418</v>
      </c>
      <c r="P608" t="s">
        <v>415</v>
      </c>
      <c r="Q608">
        <v>1</v>
      </c>
      <c r="R608" s="11" t="s">
        <v>406</v>
      </c>
      <c r="S608" s="11" t="s">
        <v>406</v>
      </c>
      <c r="T608" s="11" t="s">
        <v>406</v>
      </c>
      <c r="U608" s="11" t="s">
        <v>419</v>
      </c>
      <c r="V608" s="11" t="s">
        <v>420</v>
      </c>
    </row>
    <row r="609" spans="1:22" ht="16" customHeight="1" x14ac:dyDescent="0.2">
      <c r="A609">
        <v>12</v>
      </c>
      <c r="B609" t="s">
        <v>50</v>
      </c>
      <c r="C609" t="s">
        <v>42</v>
      </c>
      <c r="D609" t="s">
        <v>31</v>
      </c>
      <c r="E609" t="s">
        <v>1055</v>
      </c>
      <c r="F609">
        <v>140</v>
      </c>
      <c r="G609" t="s">
        <v>9</v>
      </c>
      <c r="H609" t="s">
        <v>415</v>
      </c>
      <c r="I609" t="s">
        <v>404</v>
      </c>
      <c r="J609" t="s">
        <v>405</v>
      </c>
      <c r="K609">
        <v>0</v>
      </c>
      <c r="L609" s="11" t="s">
        <v>406</v>
      </c>
      <c r="M609" t="s">
        <v>416</v>
      </c>
      <c r="N609" s="11" t="s">
        <v>417</v>
      </c>
      <c r="O609" t="s">
        <v>418</v>
      </c>
      <c r="P609" t="s">
        <v>415</v>
      </c>
      <c r="Q609">
        <v>1</v>
      </c>
      <c r="R609" s="11" t="s">
        <v>406</v>
      </c>
      <c r="S609" s="11" t="s">
        <v>406</v>
      </c>
      <c r="T609" s="11" t="s">
        <v>406</v>
      </c>
      <c r="U609" s="11" t="s">
        <v>419</v>
      </c>
      <c r="V609" s="11" t="s">
        <v>420</v>
      </c>
    </row>
    <row r="610" spans="1:22" ht="16" customHeight="1" x14ac:dyDescent="0.2">
      <c r="A610">
        <v>13</v>
      </c>
      <c r="B610" t="s">
        <v>52</v>
      </c>
      <c r="C610" t="s">
        <v>42</v>
      </c>
      <c r="D610" t="s">
        <v>31</v>
      </c>
      <c r="E610" t="s">
        <v>1056</v>
      </c>
      <c r="F610">
        <v>171</v>
      </c>
      <c r="G610" t="s">
        <v>9</v>
      </c>
      <c r="H610" t="s">
        <v>415</v>
      </c>
      <c r="I610" t="s">
        <v>404</v>
      </c>
      <c r="J610" t="s">
        <v>405</v>
      </c>
      <c r="K610">
        <v>0</v>
      </c>
      <c r="L610" s="11" t="s">
        <v>406</v>
      </c>
      <c r="M610" t="s">
        <v>416</v>
      </c>
      <c r="N610" s="11" t="s">
        <v>417</v>
      </c>
      <c r="O610" t="s">
        <v>418</v>
      </c>
      <c r="P610" t="s">
        <v>415</v>
      </c>
      <c r="Q610">
        <v>1</v>
      </c>
      <c r="R610" s="11" t="s">
        <v>406</v>
      </c>
      <c r="S610" s="11" t="s">
        <v>406</v>
      </c>
      <c r="T610" s="11" t="s">
        <v>406</v>
      </c>
      <c r="U610" s="11" t="s">
        <v>419</v>
      </c>
      <c r="V610" s="11" t="s">
        <v>420</v>
      </c>
    </row>
    <row r="611" spans="1:22" ht="16" customHeight="1" x14ac:dyDescent="0.2">
      <c r="A611">
        <v>15</v>
      </c>
      <c r="B611" t="s">
        <v>55</v>
      </c>
      <c r="C611" t="s">
        <v>42</v>
      </c>
      <c r="D611" t="s">
        <v>31</v>
      </c>
      <c r="E611" t="s">
        <v>1057</v>
      </c>
      <c r="F611">
        <v>143</v>
      </c>
      <c r="G611" t="s">
        <v>9</v>
      </c>
      <c r="H611" t="s">
        <v>415</v>
      </c>
      <c r="I611" t="s">
        <v>404</v>
      </c>
      <c r="J611" t="s">
        <v>405</v>
      </c>
      <c r="K611">
        <v>0</v>
      </c>
      <c r="L611" s="11" t="s">
        <v>406</v>
      </c>
      <c r="M611" t="s">
        <v>416</v>
      </c>
      <c r="N611" s="11" t="s">
        <v>417</v>
      </c>
      <c r="O611" t="s">
        <v>418</v>
      </c>
      <c r="P611" t="s">
        <v>415</v>
      </c>
      <c r="Q611">
        <v>1</v>
      </c>
      <c r="R611" s="11" t="s">
        <v>406</v>
      </c>
      <c r="S611" s="11" t="s">
        <v>406</v>
      </c>
      <c r="T611" s="11" t="s">
        <v>406</v>
      </c>
      <c r="U611" s="11" t="s">
        <v>419</v>
      </c>
      <c r="V611" s="11" t="s">
        <v>420</v>
      </c>
    </row>
    <row r="612" spans="1:22" ht="16" customHeight="1" x14ac:dyDescent="0.2">
      <c r="A612">
        <v>53</v>
      </c>
      <c r="B612" t="s">
        <v>129</v>
      </c>
      <c r="C612" t="s">
        <v>127</v>
      </c>
      <c r="D612" t="s">
        <v>31</v>
      </c>
      <c r="E612" t="s">
        <v>1058</v>
      </c>
      <c r="F612">
        <v>63</v>
      </c>
      <c r="G612" t="s">
        <v>9</v>
      </c>
      <c r="H612" t="s">
        <v>415</v>
      </c>
      <c r="I612" t="s">
        <v>404</v>
      </c>
      <c r="J612" t="s">
        <v>405</v>
      </c>
      <c r="K612">
        <v>0</v>
      </c>
      <c r="L612" s="11" t="s">
        <v>406</v>
      </c>
      <c r="M612" t="s">
        <v>416</v>
      </c>
      <c r="N612" s="11" t="s">
        <v>417</v>
      </c>
      <c r="O612" t="s">
        <v>418</v>
      </c>
      <c r="P612" t="s">
        <v>415</v>
      </c>
      <c r="Q612">
        <v>1</v>
      </c>
      <c r="R612" s="11" t="s">
        <v>406</v>
      </c>
      <c r="S612" s="11" t="s">
        <v>406</v>
      </c>
      <c r="T612" s="11" t="s">
        <v>406</v>
      </c>
      <c r="U612" s="11" t="s">
        <v>419</v>
      </c>
      <c r="V612" s="11" t="s">
        <v>420</v>
      </c>
    </row>
    <row r="613" spans="1:22" ht="16" customHeight="1" x14ac:dyDescent="0.2">
      <c r="A613">
        <v>54</v>
      </c>
      <c r="B613" t="s">
        <v>131</v>
      </c>
      <c r="C613" t="s">
        <v>127</v>
      </c>
      <c r="D613" t="s">
        <v>31</v>
      </c>
      <c r="E613" t="s">
        <v>1059</v>
      </c>
      <c r="F613">
        <v>12</v>
      </c>
      <c r="G613" t="s">
        <v>9</v>
      </c>
      <c r="H613" t="s">
        <v>415</v>
      </c>
      <c r="I613" t="s">
        <v>404</v>
      </c>
      <c r="J613" t="s">
        <v>405</v>
      </c>
      <c r="K613">
        <v>0</v>
      </c>
      <c r="L613" s="11" t="s">
        <v>406</v>
      </c>
      <c r="M613" t="s">
        <v>416</v>
      </c>
      <c r="N613" s="11" t="s">
        <v>417</v>
      </c>
      <c r="O613" t="s">
        <v>418</v>
      </c>
      <c r="P613" t="s">
        <v>415</v>
      </c>
      <c r="Q613">
        <v>1</v>
      </c>
      <c r="R613" s="11" t="s">
        <v>406</v>
      </c>
      <c r="S613" s="11" t="s">
        <v>406</v>
      </c>
      <c r="T613" s="11" t="s">
        <v>406</v>
      </c>
      <c r="U613" s="11" t="s">
        <v>419</v>
      </c>
      <c r="V613" s="11" t="s">
        <v>420</v>
      </c>
    </row>
    <row r="614" spans="1:22" ht="16" customHeight="1" x14ac:dyDescent="0.2">
      <c r="A614">
        <v>55</v>
      </c>
      <c r="B614" t="s">
        <v>133</v>
      </c>
      <c r="C614" t="s">
        <v>127</v>
      </c>
      <c r="D614" t="s">
        <v>31</v>
      </c>
      <c r="E614" t="s">
        <v>1060</v>
      </c>
      <c r="F614">
        <v>79</v>
      </c>
      <c r="G614" t="s">
        <v>9</v>
      </c>
      <c r="H614" t="s">
        <v>415</v>
      </c>
      <c r="I614" t="s">
        <v>404</v>
      </c>
      <c r="J614" t="s">
        <v>405</v>
      </c>
      <c r="K614">
        <v>0</v>
      </c>
      <c r="L614" s="11" t="s">
        <v>406</v>
      </c>
      <c r="M614" t="s">
        <v>416</v>
      </c>
      <c r="N614" s="11" t="s">
        <v>417</v>
      </c>
      <c r="O614" t="s">
        <v>418</v>
      </c>
      <c r="P614" t="s">
        <v>415</v>
      </c>
      <c r="Q614">
        <v>1</v>
      </c>
      <c r="R614" s="11" t="s">
        <v>406</v>
      </c>
      <c r="S614" s="11" t="s">
        <v>406</v>
      </c>
      <c r="T614" s="11" t="s">
        <v>406</v>
      </c>
      <c r="U614" s="11" t="s">
        <v>419</v>
      </c>
      <c r="V614" s="11" t="s">
        <v>420</v>
      </c>
    </row>
    <row r="615" spans="1:22" ht="16" customHeight="1" x14ac:dyDescent="0.2">
      <c r="A615">
        <v>56</v>
      </c>
      <c r="B615" t="s">
        <v>135</v>
      </c>
      <c r="C615" t="s">
        <v>127</v>
      </c>
      <c r="D615" t="s">
        <v>31</v>
      </c>
      <c r="E615" t="s">
        <v>1061</v>
      </c>
      <c r="F615">
        <v>282</v>
      </c>
      <c r="G615" t="s">
        <v>9</v>
      </c>
      <c r="H615" t="s">
        <v>415</v>
      </c>
      <c r="I615" t="s">
        <v>404</v>
      </c>
      <c r="J615" t="s">
        <v>405</v>
      </c>
      <c r="K615">
        <v>0</v>
      </c>
      <c r="L615" s="11" t="s">
        <v>406</v>
      </c>
      <c r="M615" t="s">
        <v>416</v>
      </c>
      <c r="N615" s="11" t="s">
        <v>417</v>
      </c>
      <c r="O615" t="s">
        <v>418</v>
      </c>
      <c r="P615" t="s">
        <v>415</v>
      </c>
      <c r="Q615">
        <v>1</v>
      </c>
      <c r="R615" s="11" t="s">
        <v>406</v>
      </c>
      <c r="S615" s="11" t="s">
        <v>406</v>
      </c>
      <c r="T615" s="11" t="s">
        <v>406</v>
      </c>
      <c r="U615" s="11" t="s">
        <v>419</v>
      </c>
      <c r="V615" s="11" t="s">
        <v>420</v>
      </c>
    </row>
    <row r="616" spans="1:22" ht="16" customHeight="1" x14ac:dyDescent="0.2">
      <c r="A616">
        <v>57</v>
      </c>
      <c r="B616" t="s">
        <v>137</v>
      </c>
      <c r="C616" t="s">
        <v>127</v>
      </c>
      <c r="D616" t="s">
        <v>31</v>
      </c>
      <c r="E616" t="s">
        <v>1061</v>
      </c>
      <c r="F616">
        <v>123</v>
      </c>
      <c r="G616" t="s">
        <v>9</v>
      </c>
      <c r="H616" t="s">
        <v>415</v>
      </c>
      <c r="I616" t="s">
        <v>404</v>
      </c>
      <c r="J616" t="s">
        <v>405</v>
      </c>
      <c r="K616">
        <v>0</v>
      </c>
      <c r="L616" s="11" t="s">
        <v>406</v>
      </c>
      <c r="M616" t="s">
        <v>416</v>
      </c>
      <c r="N616" s="11" t="s">
        <v>417</v>
      </c>
      <c r="O616" t="s">
        <v>418</v>
      </c>
      <c r="P616" t="s">
        <v>415</v>
      </c>
      <c r="Q616">
        <v>1</v>
      </c>
      <c r="R616" s="11" t="s">
        <v>406</v>
      </c>
      <c r="S616" s="11" t="s">
        <v>406</v>
      </c>
      <c r="T616" s="11" t="s">
        <v>406</v>
      </c>
      <c r="U616" s="11" t="s">
        <v>419</v>
      </c>
      <c r="V616" s="11" t="s">
        <v>420</v>
      </c>
    </row>
    <row r="617" spans="1:22" ht="16" customHeight="1" x14ac:dyDescent="0.2">
      <c r="A617">
        <v>58</v>
      </c>
      <c r="B617" t="s">
        <v>139</v>
      </c>
      <c r="C617" t="s">
        <v>127</v>
      </c>
      <c r="D617" t="s">
        <v>31</v>
      </c>
      <c r="E617" t="s">
        <v>1062</v>
      </c>
      <c r="F617">
        <v>18</v>
      </c>
      <c r="G617" t="s">
        <v>9</v>
      </c>
      <c r="H617" t="s">
        <v>415</v>
      </c>
      <c r="I617" t="s">
        <v>404</v>
      </c>
      <c r="J617" t="s">
        <v>405</v>
      </c>
      <c r="K617">
        <v>0</v>
      </c>
      <c r="L617" s="11" t="s">
        <v>406</v>
      </c>
      <c r="M617" t="s">
        <v>416</v>
      </c>
      <c r="N617" s="11" t="s">
        <v>417</v>
      </c>
      <c r="O617" t="s">
        <v>418</v>
      </c>
      <c r="P617" t="s">
        <v>415</v>
      </c>
      <c r="Q617">
        <v>1</v>
      </c>
      <c r="R617" s="11" t="s">
        <v>406</v>
      </c>
      <c r="S617" s="11" t="s">
        <v>406</v>
      </c>
      <c r="T617" s="11" t="s">
        <v>406</v>
      </c>
      <c r="U617" s="11" t="s">
        <v>419</v>
      </c>
      <c r="V617" s="11" t="s">
        <v>420</v>
      </c>
    </row>
    <row r="618" spans="1:22" ht="16" customHeight="1" x14ac:dyDescent="0.2">
      <c r="A618">
        <v>59</v>
      </c>
      <c r="B618" t="s">
        <v>141</v>
      </c>
      <c r="C618" t="s">
        <v>127</v>
      </c>
      <c r="D618" t="s">
        <v>31</v>
      </c>
      <c r="E618" t="s">
        <v>1063</v>
      </c>
      <c r="F618">
        <v>1</v>
      </c>
      <c r="G618" t="s">
        <v>9</v>
      </c>
      <c r="H618" t="s">
        <v>415</v>
      </c>
      <c r="I618" t="s">
        <v>404</v>
      </c>
      <c r="J618" t="s">
        <v>405</v>
      </c>
      <c r="K618">
        <v>0</v>
      </c>
      <c r="L618" s="11" t="s">
        <v>406</v>
      </c>
      <c r="M618" t="s">
        <v>416</v>
      </c>
      <c r="N618" s="11" t="s">
        <v>417</v>
      </c>
      <c r="O618" t="s">
        <v>418</v>
      </c>
      <c r="P618" t="s">
        <v>415</v>
      </c>
      <c r="Q618">
        <v>1</v>
      </c>
      <c r="R618" s="11" t="s">
        <v>406</v>
      </c>
      <c r="S618" s="11" t="s">
        <v>406</v>
      </c>
      <c r="T618" s="11" t="s">
        <v>406</v>
      </c>
      <c r="U618" s="11" t="s">
        <v>419</v>
      </c>
      <c r="V618" s="11" t="s">
        <v>420</v>
      </c>
    </row>
    <row r="619" spans="1:22" ht="16" customHeight="1" x14ac:dyDescent="0.2">
      <c r="A619">
        <v>60</v>
      </c>
      <c r="B619" t="s">
        <v>143</v>
      </c>
      <c r="C619" t="s">
        <v>127</v>
      </c>
      <c r="D619" t="s">
        <v>31</v>
      </c>
      <c r="E619" t="s">
        <v>1064</v>
      </c>
      <c r="F619">
        <v>1</v>
      </c>
      <c r="G619" t="s">
        <v>9</v>
      </c>
      <c r="H619" t="s">
        <v>415</v>
      </c>
      <c r="I619" t="s">
        <v>404</v>
      </c>
      <c r="J619" t="s">
        <v>405</v>
      </c>
      <c r="K619">
        <v>0</v>
      </c>
      <c r="L619" s="11" t="s">
        <v>406</v>
      </c>
      <c r="M619" t="s">
        <v>416</v>
      </c>
      <c r="N619" s="11" t="s">
        <v>417</v>
      </c>
      <c r="O619" t="s">
        <v>418</v>
      </c>
      <c r="P619" t="s">
        <v>415</v>
      </c>
      <c r="Q619">
        <v>1</v>
      </c>
      <c r="R619" s="11" t="s">
        <v>406</v>
      </c>
      <c r="S619" s="11" t="s">
        <v>406</v>
      </c>
      <c r="T619" s="11" t="s">
        <v>406</v>
      </c>
      <c r="U619" s="11" t="s">
        <v>419</v>
      </c>
      <c r="V619" s="11" t="s">
        <v>420</v>
      </c>
    </row>
    <row r="620" spans="1:22" ht="16" customHeight="1" x14ac:dyDescent="0.2">
      <c r="A620">
        <v>61</v>
      </c>
      <c r="B620" t="s">
        <v>145</v>
      </c>
      <c r="C620" t="s">
        <v>127</v>
      </c>
      <c r="D620" t="s">
        <v>31</v>
      </c>
      <c r="E620" t="s">
        <v>1065</v>
      </c>
      <c r="F620">
        <v>6</v>
      </c>
      <c r="G620" t="s">
        <v>9</v>
      </c>
      <c r="H620" t="s">
        <v>415</v>
      </c>
      <c r="I620" t="s">
        <v>404</v>
      </c>
      <c r="J620" t="s">
        <v>405</v>
      </c>
      <c r="K620">
        <v>0</v>
      </c>
      <c r="L620" s="11" t="s">
        <v>406</v>
      </c>
      <c r="M620" t="s">
        <v>416</v>
      </c>
      <c r="N620" s="11" t="s">
        <v>417</v>
      </c>
      <c r="O620" t="s">
        <v>418</v>
      </c>
      <c r="P620" t="s">
        <v>415</v>
      </c>
      <c r="Q620">
        <v>1</v>
      </c>
      <c r="R620" s="11" t="s">
        <v>406</v>
      </c>
      <c r="S620" s="11" t="s">
        <v>406</v>
      </c>
      <c r="T620" s="11" t="s">
        <v>406</v>
      </c>
      <c r="U620" s="11" t="s">
        <v>419</v>
      </c>
      <c r="V620" s="11" t="s">
        <v>420</v>
      </c>
    </row>
    <row r="621" spans="1:22" ht="16" customHeight="1" x14ac:dyDescent="0.2">
      <c r="A621">
        <v>63</v>
      </c>
      <c r="B621" t="s">
        <v>148</v>
      </c>
      <c r="C621" t="s">
        <v>146</v>
      </c>
      <c r="D621" t="s">
        <v>31</v>
      </c>
      <c r="E621" t="s">
        <v>1066</v>
      </c>
      <c r="F621">
        <v>3337</v>
      </c>
      <c r="G621" t="s">
        <v>9</v>
      </c>
      <c r="H621" t="s">
        <v>415</v>
      </c>
      <c r="I621" t="s">
        <v>404</v>
      </c>
      <c r="J621" t="s">
        <v>405</v>
      </c>
      <c r="K621">
        <v>0</v>
      </c>
      <c r="L621" s="11" t="s">
        <v>406</v>
      </c>
      <c r="M621" t="s">
        <v>416</v>
      </c>
      <c r="N621" s="11" t="s">
        <v>417</v>
      </c>
      <c r="O621" t="s">
        <v>418</v>
      </c>
      <c r="P621" t="s">
        <v>415</v>
      </c>
      <c r="Q621">
        <v>1</v>
      </c>
      <c r="R621" s="11" t="s">
        <v>406</v>
      </c>
      <c r="S621" s="11" t="s">
        <v>406</v>
      </c>
      <c r="T621" s="11" t="s">
        <v>406</v>
      </c>
      <c r="U621" s="11" t="s">
        <v>419</v>
      </c>
      <c r="V621" s="11" t="s">
        <v>420</v>
      </c>
    </row>
    <row r="622" spans="1:22" ht="16" customHeight="1" x14ac:dyDescent="0.2">
      <c r="A622">
        <v>66</v>
      </c>
      <c r="B622" t="s">
        <v>154</v>
      </c>
      <c r="C622" t="s">
        <v>146</v>
      </c>
      <c r="D622" t="s">
        <v>31</v>
      </c>
      <c r="E622" t="s">
        <v>1067</v>
      </c>
      <c r="F622">
        <v>22</v>
      </c>
      <c r="G622" t="s">
        <v>9</v>
      </c>
      <c r="H622" t="s">
        <v>415</v>
      </c>
      <c r="I622" t="s">
        <v>404</v>
      </c>
      <c r="J622" t="s">
        <v>405</v>
      </c>
      <c r="K622">
        <v>0</v>
      </c>
      <c r="L622" s="11" t="s">
        <v>406</v>
      </c>
      <c r="M622" t="s">
        <v>416</v>
      </c>
      <c r="N622" s="11" t="s">
        <v>417</v>
      </c>
      <c r="O622" t="s">
        <v>418</v>
      </c>
      <c r="P622" t="s">
        <v>415</v>
      </c>
      <c r="Q622">
        <v>1</v>
      </c>
      <c r="R622" s="11" t="s">
        <v>406</v>
      </c>
      <c r="S622" s="11" t="s">
        <v>406</v>
      </c>
      <c r="T622" s="11" t="s">
        <v>406</v>
      </c>
      <c r="U622" s="11" t="s">
        <v>419</v>
      </c>
      <c r="V622" s="11" t="s">
        <v>420</v>
      </c>
    </row>
    <row r="623" spans="1:22" ht="16" customHeight="1" x14ac:dyDescent="0.2">
      <c r="A623">
        <v>67</v>
      </c>
      <c r="B623" t="s">
        <v>156</v>
      </c>
      <c r="C623" t="s">
        <v>146</v>
      </c>
      <c r="D623" t="s">
        <v>31</v>
      </c>
      <c r="E623" t="s">
        <v>1068</v>
      </c>
      <c r="F623">
        <v>219</v>
      </c>
      <c r="G623" t="s">
        <v>9</v>
      </c>
      <c r="H623" t="s">
        <v>415</v>
      </c>
      <c r="I623" t="s">
        <v>404</v>
      </c>
      <c r="J623" t="s">
        <v>405</v>
      </c>
      <c r="K623">
        <v>0</v>
      </c>
      <c r="L623" s="11" t="s">
        <v>406</v>
      </c>
      <c r="M623" t="s">
        <v>416</v>
      </c>
      <c r="N623" s="11" t="s">
        <v>417</v>
      </c>
      <c r="O623" t="s">
        <v>418</v>
      </c>
      <c r="P623" t="s">
        <v>415</v>
      </c>
      <c r="Q623">
        <v>1</v>
      </c>
      <c r="R623" s="11" t="s">
        <v>406</v>
      </c>
      <c r="S623" s="11" t="s">
        <v>406</v>
      </c>
      <c r="T623" s="11" t="s">
        <v>406</v>
      </c>
      <c r="U623" s="11" t="s">
        <v>419</v>
      </c>
      <c r="V623" s="11" t="s">
        <v>420</v>
      </c>
    </row>
    <row r="624" spans="1:22" ht="16" customHeight="1" x14ac:dyDescent="0.2">
      <c r="A624">
        <v>68</v>
      </c>
      <c r="B624" t="s">
        <v>158</v>
      </c>
      <c r="C624" t="s">
        <v>146</v>
      </c>
      <c r="D624" t="s">
        <v>31</v>
      </c>
      <c r="E624" t="s">
        <v>1069</v>
      </c>
      <c r="F624">
        <v>679</v>
      </c>
      <c r="G624" t="s">
        <v>9</v>
      </c>
      <c r="H624" t="s">
        <v>415</v>
      </c>
      <c r="I624" t="s">
        <v>404</v>
      </c>
      <c r="J624" t="s">
        <v>405</v>
      </c>
      <c r="K624">
        <v>0</v>
      </c>
      <c r="L624" s="11" t="s">
        <v>406</v>
      </c>
      <c r="M624" t="s">
        <v>416</v>
      </c>
      <c r="N624" s="11" t="s">
        <v>417</v>
      </c>
      <c r="O624" t="s">
        <v>418</v>
      </c>
      <c r="P624" t="s">
        <v>415</v>
      </c>
      <c r="Q624">
        <v>1</v>
      </c>
      <c r="R624" s="11" t="s">
        <v>406</v>
      </c>
      <c r="S624" s="11" t="s">
        <v>406</v>
      </c>
      <c r="T624" s="11" t="s">
        <v>406</v>
      </c>
      <c r="U624" s="11" t="s">
        <v>419</v>
      </c>
      <c r="V624" s="11" t="s">
        <v>420</v>
      </c>
    </row>
    <row r="625" spans="1:22" ht="16" customHeight="1" x14ac:dyDescent="0.2">
      <c r="A625">
        <v>69</v>
      </c>
      <c r="B625" t="s">
        <v>160</v>
      </c>
      <c r="C625" t="s">
        <v>146</v>
      </c>
      <c r="D625" t="s">
        <v>31</v>
      </c>
      <c r="E625" t="s">
        <v>1070</v>
      </c>
      <c r="F625">
        <v>290</v>
      </c>
      <c r="G625" t="s">
        <v>9</v>
      </c>
      <c r="H625" t="s">
        <v>415</v>
      </c>
      <c r="I625" t="s">
        <v>404</v>
      </c>
      <c r="J625" t="s">
        <v>405</v>
      </c>
      <c r="K625">
        <v>0</v>
      </c>
      <c r="L625" s="11" t="s">
        <v>406</v>
      </c>
      <c r="M625" t="s">
        <v>416</v>
      </c>
      <c r="N625" s="11" t="s">
        <v>417</v>
      </c>
      <c r="O625" t="s">
        <v>418</v>
      </c>
      <c r="P625" t="s">
        <v>415</v>
      </c>
      <c r="Q625">
        <v>1</v>
      </c>
      <c r="R625" s="11" t="s">
        <v>406</v>
      </c>
      <c r="S625" s="11" t="s">
        <v>406</v>
      </c>
      <c r="T625" s="11" t="s">
        <v>406</v>
      </c>
      <c r="U625" s="11" t="s">
        <v>419</v>
      </c>
      <c r="V625" s="11" t="s">
        <v>420</v>
      </c>
    </row>
    <row r="626" spans="1:22" ht="16" customHeight="1" x14ac:dyDescent="0.2">
      <c r="A626">
        <v>70</v>
      </c>
      <c r="B626" t="s">
        <v>162</v>
      </c>
      <c r="C626" t="s">
        <v>146</v>
      </c>
      <c r="D626" t="s">
        <v>31</v>
      </c>
      <c r="E626" t="s">
        <v>1071</v>
      </c>
      <c r="F626">
        <v>331</v>
      </c>
      <c r="G626" t="s">
        <v>9</v>
      </c>
      <c r="H626" t="s">
        <v>415</v>
      </c>
      <c r="I626" t="s">
        <v>404</v>
      </c>
      <c r="J626" t="s">
        <v>405</v>
      </c>
      <c r="K626">
        <v>0</v>
      </c>
      <c r="L626" s="11" t="s">
        <v>406</v>
      </c>
      <c r="M626" t="s">
        <v>416</v>
      </c>
      <c r="N626" s="11" t="s">
        <v>417</v>
      </c>
      <c r="O626" t="s">
        <v>418</v>
      </c>
      <c r="P626" t="s">
        <v>415</v>
      </c>
      <c r="Q626">
        <v>1</v>
      </c>
      <c r="R626" s="11" t="s">
        <v>406</v>
      </c>
      <c r="S626" s="11" t="s">
        <v>406</v>
      </c>
      <c r="T626" s="11" t="s">
        <v>406</v>
      </c>
      <c r="U626" s="11" t="s">
        <v>419</v>
      </c>
      <c r="V626" s="11" t="s">
        <v>420</v>
      </c>
    </row>
    <row r="627" spans="1:22" ht="16" customHeight="1" x14ac:dyDescent="0.2">
      <c r="A627">
        <v>71</v>
      </c>
      <c r="B627" t="s">
        <v>164</v>
      </c>
      <c r="C627" t="s">
        <v>146</v>
      </c>
      <c r="D627" t="s">
        <v>31</v>
      </c>
      <c r="E627" t="s">
        <v>1072</v>
      </c>
      <c r="F627">
        <v>15</v>
      </c>
      <c r="G627" t="s">
        <v>9</v>
      </c>
      <c r="H627" t="s">
        <v>415</v>
      </c>
      <c r="I627" t="s">
        <v>404</v>
      </c>
      <c r="J627" t="s">
        <v>405</v>
      </c>
      <c r="K627">
        <v>0</v>
      </c>
      <c r="L627" s="11" t="s">
        <v>406</v>
      </c>
      <c r="M627" t="s">
        <v>416</v>
      </c>
      <c r="N627" s="11" t="s">
        <v>417</v>
      </c>
      <c r="O627" t="s">
        <v>418</v>
      </c>
      <c r="P627" t="s">
        <v>415</v>
      </c>
      <c r="Q627">
        <v>1</v>
      </c>
      <c r="R627" s="11" t="s">
        <v>406</v>
      </c>
      <c r="S627" s="11" t="s">
        <v>406</v>
      </c>
      <c r="T627" s="11" t="s">
        <v>406</v>
      </c>
      <c r="U627" s="11" t="s">
        <v>419</v>
      </c>
      <c r="V627" s="11" t="s">
        <v>420</v>
      </c>
    </row>
    <row r="628" spans="1:22" ht="16" customHeight="1" x14ac:dyDescent="0.2">
      <c r="A628">
        <v>73</v>
      </c>
      <c r="B628" t="s">
        <v>167</v>
      </c>
      <c r="C628" t="s">
        <v>165</v>
      </c>
      <c r="D628" t="s">
        <v>31</v>
      </c>
      <c r="E628" t="s">
        <v>1073</v>
      </c>
      <c r="F628">
        <v>1324</v>
      </c>
      <c r="G628" t="s">
        <v>9</v>
      </c>
      <c r="H628" t="s">
        <v>415</v>
      </c>
      <c r="I628" t="s">
        <v>404</v>
      </c>
      <c r="J628" t="s">
        <v>405</v>
      </c>
      <c r="K628">
        <v>0</v>
      </c>
      <c r="L628" s="11" t="s">
        <v>406</v>
      </c>
      <c r="M628" t="s">
        <v>416</v>
      </c>
      <c r="N628" s="11" t="s">
        <v>417</v>
      </c>
      <c r="O628" t="s">
        <v>418</v>
      </c>
      <c r="P628" t="s">
        <v>415</v>
      </c>
      <c r="Q628">
        <v>1</v>
      </c>
      <c r="R628" s="11" t="s">
        <v>406</v>
      </c>
      <c r="S628" s="11" t="s">
        <v>406</v>
      </c>
      <c r="T628" s="11" t="s">
        <v>406</v>
      </c>
      <c r="U628" s="11" t="s">
        <v>419</v>
      </c>
      <c r="V628" s="11" t="s">
        <v>420</v>
      </c>
    </row>
    <row r="629" spans="1:22" ht="16" customHeight="1" x14ac:dyDescent="0.2">
      <c r="A629">
        <v>76</v>
      </c>
      <c r="B629" t="s">
        <v>173</v>
      </c>
      <c r="C629" t="s">
        <v>165</v>
      </c>
      <c r="D629" t="s">
        <v>31</v>
      </c>
      <c r="E629" t="s">
        <v>1074</v>
      </c>
      <c r="F629">
        <v>194</v>
      </c>
      <c r="G629" t="s">
        <v>9</v>
      </c>
      <c r="H629" t="s">
        <v>415</v>
      </c>
      <c r="I629" t="s">
        <v>404</v>
      </c>
      <c r="J629" t="s">
        <v>405</v>
      </c>
      <c r="K629">
        <v>0</v>
      </c>
      <c r="L629" s="11" t="s">
        <v>406</v>
      </c>
      <c r="M629" t="s">
        <v>416</v>
      </c>
      <c r="N629" s="11" t="s">
        <v>417</v>
      </c>
      <c r="O629" t="s">
        <v>418</v>
      </c>
      <c r="P629" t="s">
        <v>415</v>
      </c>
      <c r="Q629">
        <v>1</v>
      </c>
      <c r="R629" s="11" t="s">
        <v>406</v>
      </c>
      <c r="S629" s="11" t="s">
        <v>406</v>
      </c>
      <c r="T629" s="11" t="s">
        <v>406</v>
      </c>
      <c r="U629" s="11" t="s">
        <v>419</v>
      </c>
      <c r="V629" s="11" t="s">
        <v>420</v>
      </c>
    </row>
    <row r="630" spans="1:22" ht="16" customHeight="1" x14ac:dyDescent="0.2">
      <c r="A630">
        <v>77</v>
      </c>
      <c r="B630" t="s">
        <v>175</v>
      </c>
      <c r="C630" t="s">
        <v>165</v>
      </c>
      <c r="D630" t="s">
        <v>31</v>
      </c>
      <c r="E630" t="s">
        <v>1075</v>
      </c>
      <c r="F630">
        <v>449</v>
      </c>
      <c r="G630" t="s">
        <v>9</v>
      </c>
      <c r="H630" t="s">
        <v>415</v>
      </c>
      <c r="I630" t="s">
        <v>404</v>
      </c>
      <c r="J630" t="s">
        <v>405</v>
      </c>
      <c r="K630">
        <v>0</v>
      </c>
      <c r="L630" s="11" t="s">
        <v>406</v>
      </c>
      <c r="M630" t="s">
        <v>416</v>
      </c>
      <c r="N630" s="11" t="s">
        <v>417</v>
      </c>
      <c r="O630" t="s">
        <v>418</v>
      </c>
      <c r="P630" t="s">
        <v>415</v>
      </c>
      <c r="Q630">
        <v>1</v>
      </c>
      <c r="R630" s="11" t="s">
        <v>406</v>
      </c>
      <c r="S630" s="11" t="s">
        <v>406</v>
      </c>
      <c r="T630" s="11" t="s">
        <v>406</v>
      </c>
      <c r="U630" s="11" t="s">
        <v>419</v>
      </c>
      <c r="V630" s="11" t="s">
        <v>420</v>
      </c>
    </row>
    <row r="631" spans="1:22" ht="16" customHeight="1" x14ac:dyDescent="0.2">
      <c r="A631">
        <v>78</v>
      </c>
      <c r="B631" t="s">
        <v>177</v>
      </c>
      <c r="C631" t="s">
        <v>165</v>
      </c>
      <c r="D631" t="s">
        <v>31</v>
      </c>
      <c r="E631" t="s">
        <v>1076</v>
      </c>
      <c r="F631">
        <v>214</v>
      </c>
      <c r="G631" t="s">
        <v>9</v>
      </c>
      <c r="H631" t="s">
        <v>415</v>
      </c>
      <c r="I631" t="s">
        <v>404</v>
      </c>
      <c r="J631" t="s">
        <v>405</v>
      </c>
      <c r="K631">
        <v>0</v>
      </c>
      <c r="L631" s="11" t="s">
        <v>406</v>
      </c>
      <c r="M631" t="s">
        <v>416</v>
      </c>
      <c r="N631" s="11" t="s">
        <v>417</v>
      </c>
      <c r="O631" t="s">
        <v>418</v>
      </c>
      <c r="P631" t="s">
        <v>415</v>
      </c>
      <c r="Q631">
        <v>1</v>
      </c>
      <c r="R631" s="11" t="s">
        <v>406</v>
      </c>
      <c r="S631" s="11" t="s">
        <v>406</v>
      </c>
      <c r="T631" s="11" t="s">
        <v>406</v>
      </c>
      <c r="U631" s="11" t="s">
        <v>419</v>
      </c>
      <c r="V631" s="11" t="s">
        <v>420</v>
      </c>
    </row>
    <row r="632" spans="1:22" ht="16" customHeight="1" x14ac:dyDescent="0.2">
      <c r="A632">
        <v>79</v>
      </c>
      <c r="B632" t="s">
        <v>179</v>
      </c>
      <c r="C632" t="s">
        <v>165</v>
      </c>
      <c r="D632" t="s">
        <v>31</v>
      </c>
      <c r="E632" t="s">
        <v>1077</v>
      </c>
      <c r="F632">
        <v>1137</v>
      </c>
      <c r="G632" t="s">
        <v>9</v>
      </c>
      <c r="H632" t="s">
        <v>415</v>
      </c>
      <c r="I632" t="s">
        <v>404</v>
      </c>
      <c r="J632" t="s">
        <v>405</v>
      </c>
      <c r="K632">
        <v>0</v>
      </c>
      <c r="L632" s="11" t="s">
        <v>406</v>
      </c>
      <c r="M632" t="s">
        <v>416</v>
      </c>
      <c r="N632" s="11" t="s">
        <v>417</v>
      </c>
      <c r="O632" t="s">
        <v>418</v>
      </c>
      <c r="P632" t="s">
        <v>415</v>
      </c>
      <c r="Q632">
        <v>1</v>
      </c>
      <c r="R632" s="11" t="s">
        <v>406</v>
      </c>
      <c r="S632" s="11" t="s">
        <v>406</v>
      </c>
      <c r="T632" s="11" t="s">
        <v>406</v>
      </c>
      <c r="U632" s="11" t="s">
        <v>419</v>
      </c>
      <c r="V632" s="11" t="s">
        <v>420</v>
      </c>
    </row>
    <row r="633" spans="1:22" ht="16" customHeight="1" x14ac:dyDescent="0.2">
      <c r="A633">
        <v>82</v>
      </c>
      <c r="B633" t="s">
        <v>185</v>
      </c>
      <c r="C633" t="s">
        <v>165</v>
      </c>
      <c r="D633" t="s">
        <v>31</v>
      </c>
      <c r="E633" t="s">
        <v>1078</v>
      </c>
      <c r="F633">
        <v>604</v>
      </c>
      <c r="G633" t="s">
        <v>9</v>
      </c>
      <c r="H633" t="s">
        <v>415</v>
      </c>
      <c r="I633" t="s">
        <v>404</v>
      </c>
      <c r="J633" t="s">
        <v>405</v>
      </c>
      <c r="K633">
        <v>0</v>
      </c>
      <c r="L633" s="11" t="s">
        <v>406</v>
      </c>
      <c r="M633" t="s">
        <v>416</v>
      </c>
      <c r="N633" s="11" t="s">
        <v>417</v>
      </c>
      <c r="O633" t="s">
        <v>418</v>
      </c>
      <c r="P633" t="s">
        <v>415</v>
      </c>
      <c r="Q633">
        <v>1</v>
      </c>
      <c r="R633" s="11" t="s">
        <v>406</v>
      </c>
      <c r="S633" s="11" t="s">
        <v>406</v>
      </c>
      <c r="T633" s="11" t="s">
        <v>406</v>
      </c>
      <c r="U633" s="11" t="s">
        <v>419</v>
      </c>
      <c r="V633" s="11" t="s">
        <v>420</v>
      </c>
    </row>
    <row r="634" spans="1:22" ht="16" customHeight="1" x14ac:dyDescent="0.2">
      <c r="A634">
        <v>83</v>
      </c>
      <c r="B634" t="s">
        <v>187</v>
      </c>
      <c r="C634" t="s">
        <v>165</v>
      </c>
      <c r="D634" t="s">
        <v>31</v>
      </c>
      <c r="E634" t="s">
        <v>1079</v>
      </c>
      <c r="F634">
        <v>1631</v>
      </c>
      <c r="G634" t="s">
        <v>9</v>
      </c>
      <c r="H634" t="s">
        <v>415</v>
      </c>
      <c r="I634" t="s">
        <v>404</v>
      </c>
      <c r="J634" t="s">
        <v>405</v>
      </c>
      <c r="K634">
        <v>0</v>
      </c>
      <c r="L634" s="11" t="s">
        <v>406</v>
      </c>
      <c r="M634" t="s">
        <v>416</v>
      </c>
      <c r="N634" s="11" t="s">
        <v>417</v>
      </c>
      <c r="O634" t="s">
        <v>418</v>
      </c>
      <c r="P634" t="s">
        <v>415</v>
      </c>
      <c r="Q634">
        <v>1</v>
      </c>
      <c r="R634" s="11" t="s">
        <v>406</v>
      </c>
      <c r="S634" s="11" t="s">
        <v>406</v>
      </c>
      <c r="T634" s="11" t="s">
        <v>406</v>
      </c>
      <c r="U634" s="11" t="s">
        <v>419</v>
      </c>
      <c r="V634" s="11" t="s">
        <v>420</v>
      </c>
    </row>
    <row r="635" spans="1:22" ht="16" customHeight="1" x14ac:dyDescent="0.2">
      <c r="A635">
        <v>84</v>
      </c>
      <c r="B635" t="s">
        <v>189</v>
      </c>
      <c r="C635" t="s">
        <v>165</v>
      </c>
      <c r="D635" t="s">
        <v>31</v>
      </c>
      <c r="E635" t="s">
        <v>1080</v>
      </c>
      <c r="F635">
        <v>1681</v>
      </c>
      <c r="G635" t="s">
        <v>9</v>
      </c>
      <c r="H635" t="s">
        <v>415</v>
      </c>
      <c r="I635" t="s">
        <v>404</v>
      </c>
      <c r="J635" t="s">
        <v>405</v>
      </c>
      <c r="K635">
        <v>0</v>
      </c>
      <c r="L635" s="11" t="s">
        <v>406</v>
      </c>
      <c r="M635" t="s">
        <v>416</v>
      </c>
      <c r="N635" s="11" t="s">
        <v>417</v>
      </c>
      <c r="O635" t="s">
        <v>418</v>
      </c>
      <c r="P635" t="s">
        <v>415</v>
      </c>
      <c r="Q635">
        <v>1</v>
      </c>
      <c r="R635" s="11" t="s">
        <v>406</v>
      </c>
      <c r="S635" s="11" t="s">
        <v>406</v>
      </c>
      <c r="T635" s="11" t="s">
        <v>406</v>
      </c>
      <c r="U635" s="11" t="s">
        <v>419</v>
      </c>
      <c r="V635" s="11" t="s">
        <v>420</v>
      </c>
    </row>
    <row r="636" spans="1:22" ht="16" customHeight="1" x14ac:dyDescent="0.2">
      <c r="A636">
        <v>85</v>
      </c>
      <c r="B636" t="s">
        <v>191</v>
      </c>
      <c r="C636" t="s">
        <v>165</v>
      </c>
      <c r="D636" t="s">
        <v>31</v>
      </c>
      <c r="E636" t="s">
        <v>1081</v>
      </c>
      <c r="F636">
        <v>284</v>
      </c>
      <c r="G636" t="s">
        <v>9</v>
      </c>
      <c r="H636" t="s">
        <v>415</v>
      </c>
      <c r="I636" t="s">
        <v>404</v>
      </c>
      <c r="J636" t="s">
        <v>405</v>
      </c>
      <c r="K636">
        <v>0</v>
      </c>
      <c r="L636" s="11" t="s">
        <v>406</v>
      </c>
      <c r="M636" t="s">
        <v>416</v>
      </c>
      <c r="N636" s="11" t="s">
        <v>417</v>
      </c>
      <c r="O636" t="s">
        <v>418</v>
      </c>
      <c r="P636" t="s">
        <v>415</v>
      </c>
      <c r="Q636">
        <v>1</v>
      </c>
      <c r="R636" s="11" t="s">
        <v>406</v>
      </c>
      <c r="S636" s="11" t="s">
        <v>406</v>
      </c>
      <c r="T636" s="11" t="s">
        <v>406</v>
      </c>
      <c r="U636" s="11" t="s">
        <v>419</v>
      </c>
      <c r="V636" s="11" t="s">
        <v>420</v>
      </c>
    </row>
    <row r="637" spans="1:22" ht="16" customHeight="1" x14ac:dyDescent="0.2">
      <c r="A637">
        <v>97</v>
      </c>
      <c r="B637" t="s">
        <v>215</v>
      </c>
      <c r="C637" t="s">
        <v>165</v>
      </c>
      <c r="D637" t="s">
        <v>31</v>
      </c>
      <c r="E637" t="s">
        <v>1082</v>
      </c>
      <c r="F637">
        <v>1514</v>
      </c>
      <c r="G637" t="s">
        <v>9</v>
      </c>
      <c r="H637" t="s">
        <v>415</v>
      </c>
      <c r="I637" t="s">
        <v>404</v>
      </c>
      <c r="J637" t="s">
        <v>405</v>
      </c>
      <c r="K637">
        <v>0</v>
      </c>
      <c r="L637" s="11" t="s">
        <v>406</v>
      </c>
      <c r="M637" t="s">
        <v>416</v>
      </c>
      <c r="N637" s="11" t="s">
        <v>417</v>
      </c>
      <c r="O637" t="s">
        <v>418</v>
      </c>
      <c r="P637" t="s">
        <v>415</v>
      </c>
      <c r="Q637">
        <v>1</v>
      </c>
      <c r="R637" s="11" t="s">
        <v>406</v>
      </c>
      <c r="S637" s="11" t="s">
        <v>406</v>
      </c>
      <c r="T637" s="11" t="s">
        <v>406</v>
      </c>
      <c r="U637" s="11" t="s">
        <v>419</v>
      </c>
      <c r="V637" s="11" t="s">
        <v>420</v>
      </c>
    </row>
    <row r="638" spans="1:22" ht="16" customHeight="1" x14ac:dyDescent="0.2">
      <c r="A638">
        <v>99</v>
      </c>
      <c r="B638" t="s">
        <v>218</v>
      </c>
      <c r="C638" t="s">
        <v>216</v>
      </c>
      <c r="D638" t="s">
        <v>31</v>
      </c>
      <c r="E638" t="s">
        <v>1083</v>
      </c>
      <c r="F638">
        <v>223</v>
      </c>
      <c r="G638" t="s">
        <v>9</v>
      </c>
      <c r="H638" t="s">
        <v>415</v>
      </c>
      <c r="I638" t="s">
        <v>404</v>
      </c>
      <c r="J638" t="s">
        <v>405</v>
      </c>
      <c r="K638">
        <v>0</v>
      </c>
      <c r="L638" s="11" t="s">
        <v>406</v>
      </c>
      <c r="M638" t="s">
        <v>416</v>
      </c>
      <c r="N638" s="11" t="s">
        <v>417</v>
      </c>
      <c r="O638" t="s">
        <v>418</v>
      </c>
      <c r="P638" t="s">
        <v>415</v>
      </c>
      <c r="Q638">
        <v>1</v>
      </c>
      <c r="R638" s="11" t="s">
        <v>406</v>
      </c>
      <c r="S638" s="11" t="s">
        <v>406</v>
      </c>
      <c r="T638" s="11" t="s">
        <v>406</v>
      </c>
      <c r="U638" s="11" t="s">
        <v>419</v>
      </c>
      <c r="V638" s="11" t="s">
        <v>420</v>
      </c>
    </row>
    <row r="639" spans="1:22" ht="16" customHeight="1" x14ac:dyDescent="0.2">
      <c r="A639">
        <v>101</v>
      </c>
      <c r="B639" t="s">
        <v>222</v>
      </c>
      <c r="C639" t="s">
        <v>216</v>
      </c>
      <c r="D639" t="s">
        <v>31</v>
      </c>
      <c r="E639" t="s">
        <v>1084</v>
      </c>
      <c r="F639">
        <v>64</v>
      </c>
      <c r="G639" t="s">
        <v>9</v>
      </c>
      <c r="H639" t="s">
        <v>415</v>
      </c>
      <c r="I639" t="s">
        <v>404</v>
      </c>
      <c r="J639" t="s">
        <v>405</v>
      </c>
      <c r="K639">
        <v>0</v>
      </c>
      <c r="L639" s="11" t="s">
        <v>406</v>
      </c>
      <c r="M639" t="s">
        <v>416</v>
      </c>
      <c r="N639" s="11" t="s">
        <v>417</v>
      </c>
      <c r="O639" t="s">
        <v>418</v>
      </c>
      <c r="P639" t="s">
        <v>415</v>
      </c>
      <c r="Q639">
        <v>1</v>
      </c>
      <c r="R639" s="11" t="s">
        <v>406</v>
      </c>
      <c r="S639" s="11" t="s">
        <v>406</v>
      </c>
      <c r="T639" s="11" t="s">
        <v>406</v>
      </c>
      <c r="U639" s="11" t="s">
        <v>419</v>
      </c>
      <c r="V639" s="11" t="s">
        <v>420</v>
      </c>
    </row>
    <row r="640" spans="1:22" ht="16" customHeight="1" x14ac:dyDescent="0.2">
      <c r="A640">
        <v>103</v>
      </c>
      <c r="B640" t="s">
        <v>226</v>
      </c>
      <c r="C640" t="s">
        <v>216</v>
      </c>
      <c r="D640" t="s">
        <v>31</v>
      </c>
      <c r="E640" t="s">
        <v>1085</v>
      </c>
      <c r="F640">
        <v>770</v>
      </c>
      <c r="G640" t="s">
        <v>9</v>
      </c>
      <c r="H640" t="s">
        <v>415</v>
      </c>
      <c r="I640" t="s">
        <v>404</v>
      </c>
      <c r="J640" t="s">
        <v>405</v>
      </c>
      <c r="K640">
        <v>0</v>
      </c>
      <c r="L640" s="11" t="s">
        <v>406</v>
      </c>
      <c r="M640" t="s">
        <v>416</v>
      </c>
      <c r="N640" s="11" t="s">
        <v>417</v>
      </c>
      <c r="O640" t="s">
        <v>418</v>
      </c>
      <c r="P640" t="s">
        <v>415</v>
      </c>
      <c r="Q640">
        <v>1</v>
      </c>
      <c r="R640" s="11" t="s">
        <v>406</v>
      </c>
      <c r="S640" s="11" t="s">
        <v>406</v>
      </c>
      <c r="T640" s="11" t="s">
        <v>406</v>
      </c>
      <c r="U640" s="11" t="s">
        <v>419</v>
      </c>
      <c r="V640" s="11" t="s">
        <v>420</v>
      </c>
    </row>
    <row r="641" spans="1:22" ht="16" customHeight="1" x14ac:dyDescent="0.2">
      <c r="A641">
        <v>105</v>
      </c>
      <c r="B641" t="s">
        <v>230</v>
      </c>
      <c r="C641" t="s">
        <v>216</v>
      </c>
      <c r="D641" t="s">
        <v>31</v>
      </c>
      <c r="E641" t="s">
        <v>1086</v>
      </c>
      <c r="F641">
        <v>1</v>
      </c>
      <c r="G641" t="s">
        <v>9</v>
      </c>
      <c r="H641" t="s">
        <v>415</v>
      </c>
      <c r="I641" t="s">
        <v>404</v>
      </c>
      <c r="J641" t="s">
        <v>405</v>
      </c>
      <c r="K641">
        <v>0</v>
      </c>
      <c r="L641" s="11" t="s">
        <v>406</v>
      </c>
      <c r="M641" t="s">
        <v>416</v>
      </c>
      <c r="N641" s="11" t="s">
        <v>417</v>
      </c>
      <c r="O641" t="s">
        <v>418</v>
      </c>
      <c r="P641" t="s">
        <v>415</v>
      </c>
      <c r="Q641">
        <v>1</v>
      </c>
      <c r="R641" s="11" t="s">
        <v>406</v>
      </c>
      <c r="S641" s="11" t="s">
        <v>406</v>
      </c>
      <c r="T641" s="11" t="s">
        <v>406</v>
      </c>
      <c r="U641" s="11" t="s">
        <v>419</v>
      </c>
      <c r="V641" s="11" t="s">
        <v>420</v>
      </c>
    </row>
    <row r="642" spans="1:22" ht="16" customHeight="1" x14ac:dyDescent="0.2">
      <c r="A642">
        <v>108</v>
      </c>
      <c r="B642" t="s">
        <v>235</v>
      </c>
      <c r="C642" t="s">
        <v>231</v>
      </c>
      <c r="D642" t="s">
        <v>31</v>
      </c>
      <c r="E642" t="s">
        <v>1087</v>
      </c>
      <c r="F642">
        <v>739</v>
      </c>
      <c r="G642" t="s">
        <v>9</v>
      </c>
      <c r="H642" t="s">
        <v>415</v>
      </c>
      <c r="I642" t="s">
        <v>404</v>
      </c>
      <c r="J642" t="s">
        <v>405</v>
      </c>
      <c r="K642">
        <v>0</v>
      </c>
      <c r="L642" s="11" t="s">
        <v>406</v>
      </c>
      <c r="M642" t="s">
        <v>416</v>
      </c>
      <c r="N642" s="11" t="s">
        <v>417</v>
      </c>
      <c r="O642" t="s">
        <v>418</v>
      </c>
      <c r="P642" t="s">
        <v>415</v>
      </c>
      <c r="Q642">
        <v>1</v>
      </c>
      <c r="R642" s="11" t="s">
        <v>406</v>
      </c>
      <c r="S642" s="11" t="s">
        <v>406</v>
      </c>
      <c r="T642" s="11" t="s">
        <v>406</v>
      </c>
      <c r="U642" s="11" t="s">
        <v>419</v>
      </c>
      <c r="V642" s="11" t="s">
        <v>420</v>
      </c>
    </row>
    <row r="643" spans="1:22" ht="16" customHeight="1" x14ac:dyDescent="0.2">
      <c r="A643">
        <v>113</v>
      </c>
      <c r="B643" t="s">
        <v>245</v>
      </c>
      <c r="C643" t="s">
        <v>231</v>
      </c>
      <c r="D643" t="s">
        <v>31</v>
      </c>
      <c r="E643" t="s">
        <v>1088</v>
      </c>
      <c r="F643">
        <v>190</v>
      </c>
      <c r="G643" t="s">
        <v>9</v>
      </c>
      <c r="H643" t="s">
        <v>415</v>
      </c>
      <c r="I643" t="s">
        <v>404</v>
      </c>
      <c r="J643" t="s">
        <v>405</v>
      </c>
      <c r="K643">
        <v>0</v>
      </c>
      <c r="L643" s="11" t="s">
        <v>406</v>
      </c>
      <c r="M643" t="s">
        <v>416</v>
      </c>
      <c r="N643" s="11" t="s">
        <v>417</v>
      </c>
      <c r="O643" t="s">
        <v>418</v>
      </c>
      <c r="P643" t="s">
        <v>415</v>
      </c>
      <c r="Q643">
        <v>1</v>
      </c>
      <c r="R643" s="11" t="s">
        <v>406</v>
      </c>
      <c r="S643" s="11" t="s">
        <v>406</v>
      </c>
      <c r="T643" s="11" t="s">
        <v>406</v>
      </c>
      <c r="U643" s="11" t="s">
        <v>419</v>
      </c>
      <c r="V643" s="11" t="s">
        <v>420</v>
      </c>
    </row>
    <row r="644" spans="1:22" ht="16" customHeight="1" x14ac:dyDescent="0.2">
      <c r="A644">
        <v>115</v>
      </c>
      <c r="B644" t="s">
        <v>249</v>
      </c>
      <c r="C644" t="s">
        <v>231</v>
      </c>
      <c r="D644" t="s">
        <v>31</v>
      </c>
      <c r="E644" t="s">
        <v>1089</v>
      </c>
      <c r="F644">
        <v>2560</v>
      </c>
      <c r="G644" t="s">
        <v>9</v>
      </c>
      <c r="H644" t="s">
        <v>415</v>
      </c>
      <c r="I644" t="s">
        <v>404</v>
      </c>
      <c r="J644" t="s">
        <v>405</v>
      </c>
      <c r="K644">
        <v>0</v>
      </c>
      <c r="L644" s="11" t="s">
        <v>406</v>
      </c>
      <c r="M644" t="s">
        <v>416</v>
      </c>
      <c r="N644" s="11" t="s">
        <v>417</v>
      </c>
      <c r="O644" t="s">
        <v>418</v>
      </c>
      <c r="P644" t="s">
        <v>415</v>
      </c>
      <c r="Q644">
        <v>1</v>
      </c>
      <c r="R644" s="11" t="s">
        <v>406</v>
      </c>
      <c r="S644" s="11" t="s">
        <v>406</v>
      </c>
      <c r="T644" s="11" t="s">
        <v>406</v>
      </c>
      <c r="U644" s="11" t="s">
        <v>419</v>
      </c>
      <c r="V644" s="11" t="s">
        <v>420</v>
      </c>
    </row>
    <row r="645" spans="1:22" ht="16" customHeight="1" x14ac:dyDescent="0.2">
      <c r="A645">
        <v>116</v>
      </c>
      <c r="B645" t="s">
        <v>251</v>
      </c>
      <c r="C645" t="s">
        <v>231</v>
      </c>
      <c r="D645" t="s">
        <v>31</v>
      </c>
      <c r="E645" t="s">
        <v>1090</v>
      </c>
      <c r="F645">
        <v>342</v>
      </c>
      <c r="G645" t="s">
        <v>9</v>
      </c>
      <c r="H645" t="s">
        <v>415</v>
      </c>
      <c r="I645" t="s">
        <v>404</v>
      </c>
      <c r="J645" t="s">
        <v>405</v>
      </c>
      <c r="K645">
        <v>0</v>
      </c>
      <c r="L645" s="11" t="s">
        <v>406</v>
      </c>
      <c r="M645" t="s">
        <v>416</v>
      </c>
      <c r="N645" s="11" t="s">
        <v>417</v>
      </c>
      <c r="O645" t="s">
        <v>418</v>
      </c>
      <c r="P645" t="s">
        <v>415</v>
      </c>
      <c r="Q645">
        <v>1</v>
      </c>
      <c r="R645" s="11" t="s">
        <v>406</v>
      </c>
      <c r="S645" s="11" t="s">
        <v>406</v>
      </c>
      <c r="T645" s="11" t="s">
        <v>406</v>
      </c>
      <c r="U645" s="11" t="s">
        <v>419</v>
      </c>
      <c r="V645" s="11" t="s">
        <v>420</v>
      </c>
    </row>
    <row r="646" spans="1:22" ht="16" customHeight="1" x14ac:dyDescent="0.2">
      <c r="A646">
        <v>119</v>
      </c>
      <c r="B646" t="s">
        <v>256</v>
      </c>
      <c r="C646" t="s">
        <v>231</v>
      </c>
      <c r="D646" t="s">
        <v>31</v>
      </c>
      <c r="E646" t="s">
        <v>1091</v>
      </c>
      <c r="F646">
        <v>303</v>
      </c>
      <c r="G646" t="s">
        <v>9</v>
      </c>
      <c r="H646" t="s">
        <v>415</v>
      </c>
      <c r="I646" t="s">
        <v>404</v>
      </c>
      <c r="J646" t="s">
        <v>405</v>
      </c>
      <c r="K646">
        <v>0</v>
      </c>
      <c r="L646" s="11" t="s">
        <v>406</v>
      </c>
      <c r="M646" t="s">
        <v>416</v>
      </c>
      <c r="N646" s="11" t="s">
        <v>417</v>
      </c>
      <c r="O646" t="s">
        <v>418</v>
      </c>
      <c r="P646" t="s">
        <v>415</v>
      </c>
      <c r="Q646">
        <v>1</v>
      </c>
      <c r="R646" s="11" t="s">
        <v>406</v>
      </c>
      <c r="S646" s="11" t="s">
        <v>406</v>
      </c>
      <c r="T646" s="11" t="s">
        <v>406</v>
      </c>
      <c r="U646" s="11" t="s">
        <v>419</v>
      </c>
      <c r="V646" s="11" t="s">
        <v>420</v>
      </c>
    </row>
    <row r="647" spans="1:22" ht="16" customHeight="1" x14ac:dyDescent="0.2">
      <c r="A647">
        <v>121</v>
      </c>
      <c r="B647" t="s">
        <v>259</v>
      </c>
      <c r="C647" t="s">
        <v>257</v>
      </c>
      <c r="D647" t="s">
        <v>31</v>
      </c>
      <c r="E647" t="s">
        <v>1092</v>
      </c>
      <c r="F647">
        <v>2079</v>
      </c>
      <c r="G647" t="s">
        <v>9</v>
      </c>
      <c r="H647" t="s">
        <v>415</v>
      </c>
      <c r="I647" t="s">
        <v>404</v>
      </c>
      <c r="J647" t="s">
        <v>405</v>
      </c>
      <c r="K647">
        <v>0</v>
      </c>
      <c r="L647" s="11" t="s">
        <v>406</v>
      </c>
      <c r="M647" t="s">
        <v>416</v>
      </c>
      <c r="N647" s="11" t="s">
        <v>417</v>
      </c>
      <c r="O647" t="s">
        <v>418</v>
      </c>
      <c r="P647" t="s">
        <v>415</v>
      </c>
      <c r="Q647">
        <v>1</v>
      </c>
      <c r="R647" s="11" t="s">
        <v>406</v>
      </c>
      <c r="S647" s="11" t="s">
        <v>406</v>
      </c>
      <c r="T647" s="11" t="s">
        <v>406</v>
      </c>
      <c r="U647" s="11" t="s">
        <v>419</v>
      </c>
      <c r="V647" s="11" t="s">
        <v>420</v>
      </c>
    </row>
    <row r="648" spans="1:22" ht="16" customHeight="1" x14ac:dyDescent="0.2">
      <c r="A648">
        <v>123</v>
      </c>
      <c r="B648" t="s">
        <v>263</v>
      </c>
      <c r="C648" t="s">
        <v>257</v>
      </c>
      <c r="D648" t="s">
        <v>31</v>
      </c>
      <c r="E648" t="s">
        <v>1093</v>
      </c>
      <c r="F648">
        <v>2047</v>
      </c>
      <c r="G648" t="s">
        <v>9</v>
      </c>
      <c r="H648" t="s">
        <v>415</v>
      </c>
      <c r="I648" t="s">
        <v>404</v>
      </c>
      <c r="J648" t="s">
        <v>405</v>
      </c>
      <c r="K648">
        <v>0</v>
      </c>
      <c r="L648" s="11" t="s">
        <v>406</v>
      </c>
      <c r="M648" t="s">
        <v>416</v>
      </c>
      <c r="N648" s="11" t="s">
        <v>417</v>
      </c>
      <c r="O648" t="s">
        <v>418</v>
      </c>
      <c r="P648" t="s">
        <v>415</v>
      </c>
      <c r="Q648">
        <v>1</v>
      </c>
      <c r="R648" s="11" t="s">
        <v>406</v>
      </c>
      <c r="S648" s="11" t="s">
        <v>406</v>
      </c>
      <c r="T648" s="11" t="s">
        <v>406</v>
      </c>
      <c r="U648" s="11" t="s">
        <v>419</v>
      </c>
      <c r="V648" s="11" t="s">
        <v>420</v>
      </c>
    </row>
    <row r="649" spans="1:22" ht="16" customHeight="1" x14ac:dyDescent="0.2">
      <c r="A649">
        <v>124</v>
      </c>
      <c r="B649" t="s">
        <v>265</v>
      </c>
      <c r="C649" t="s">
        <v>257</v>
      </c>
      <c r="D649" t="s">
        <v>31</v>
      </c>
      <c r="E649" t="s">
        <v>1094</v>
      </c>
      <c r="F649">
        <v>16</v>
      </c>
      <c r="G649" t="s">
        <v>9</v>
      </c>
      <c r="H649" t="s">
        <v>415</v>
      </c>
      <c r="I649" t="s">
        <v>404</v>
      </c>
      <c r="J649" t="s">
        <v>522</v>
      </c>
      <c r="K649">
        <v>0</v>
      </c>
      <c r="L649" s="11" t="s">
        <v>406</v>
      </c>
      <c r="M649" t="s">
        <v>416</v>
      </c>
      <c r="N649" s="11" t="s">
        <v>1095</v>
      </c>
      <c r="O649" t="s">
        <v>418</v>
      </c>
      <c r="P649" t="s">
        <v>415</v>
      </c>
      <c r="Q649">
        <v>1</v>
      </c>
      <c r="R649" s="11" t="s">
        <v>406</v>
      </c>
      <c r="S649" s="11" t="s">
        <v>406</v>
      </c>
      <c r="T649" s="11" t="s">
        <v>406</v>
      </c>
      <c r="U649" s="11" t="s">
        <v>419</v>
      </c>
      <c r="V649" s="11" t="s">
        <v>1096</v>
      </c>
    </row>
    <row r="650" spans="1:22" ht="16" customHeight="1" x14ac:dyDescent="0.2">
      <c r="A650">
        <v>126</v>
      </c>
      <c r="B650" t="s">
        <v>268</v>
      </c>
      <c r="C650" t="s">
        <v>266</v>
      </c>
      <c r="D650" t="s">
        <v>31</v>
      </c>
      <c r="E650" t="s">
        <v>1097</v>
      </c>
      <c r="F650">
        <v>5119</v>
      </c>
      <c r="G650" t="s">
        <v>9</v>
      </c>
      <c r="H650" t="s">
        <v>415</v>
      </c>
      <c r="I650" t="s">
        <v>404</v>
      </c>
      <c r="J650" t="s">
        <v>405</v>
      </c>
      <c r="K650">
        <v>0</v>
      </c>
      <c r="L650" s="11" t="s">
        <v>406</v>
      </c>
      <c r="M650" t="s">
        <v>416</v>
      </c>
      <c r="N650" s="11" t="s">
        <v>417</v>
      </c>
      <c r="O650" t="s">
        <v>418</v>
      </c>
      <c r="P650" t="s">
        <v>415</v>
      </c>
      <c r="Q650">
        <v>1</v>
      </c>
      <c r="R650" s="11" t="s">
        <v>406</v>
      </c>
      <c r="S650" s="11" t="s">
        <v>406</v>
      </c>
      <c r="T650" s="11" t="s">
        <v>406</v>
      </c>
      <c r="U650" s="11" t="s">
        <v>419</v>
      </c>
      <c r="V650" s="11" t="s">
        <v>420</v>
      </c>
    </row>
    <row r="651" spans="1:22" ht="16" customHeight="1" x14ac:dyDescent="0.2">
      <c r="A651">
        <v>127</v>
      </c>
      <c r="B651" t="s">
        <v>270</v>
      </c>
      <c r="C651" t="s">
        <v>266</v>
      </c>
      <c r="D651" t="s">
        <v>31</v>
      </c>
      <c r="E651" t="s">
        <v>1098</v>
      </c>
      <c r="F651">
        <v>144</v>
      </c>
      <c r="G651" t="s">
        <v>9</v>
      </c>
      <c r="H651" t="s">
        <v>415</v>
      </c>
      <c r="I651" t="s">
        <v>404</v>
      </c>
      <c r="J651" t="s">
        <v>405</v>
      </c>
      <c r="K651">
        <v>0</v>
      </c>
      <c r="L651" s="11" t="s">
        <v>406</v>
      </c>
      <c r="M651" t="s">
        <v>416</v>
      </c>
      <c r="N651" s="11" t="s">
        <v>417</v>
      </c>
      <c r="O651" t="s">
        <v>418</v>
      </c>
      <c r="P651" t="s">
        <v>415</v>
      </c>
      <c r="Q651">
        <v>1</v>
      </c>
      <c r="R651" s="11" t="s">
        <v>406</v>
      </c>
      <c r="S651" s="11" t="s">
        <v>406</v>
      </c>
      <c r="T651" s="11" t="s">
        <v>406</v>
      </c>
      <c r="U651" s="11" t="s">
        <v>419</v>
      </c>
      <c r="V651" s="11" t="s">
        <v>420</v>
      </c>
    </row>
    <row r="652" spans="1:22" ht="16" customHeight="1" x14ac:dyDescent="0.2">
      <c r="A652">
        <v>128</v>
      </c>
      <c r="B652" t="s">
        <v>272</v>
      </c>
      <c r="C652" t="s">
        <v>266</v>
      </c>
      <c r="D652" t="s">
        <v>31</v>
      </c>
      <c r="E652" t="s">
        <v>1099</v>
      </c>
      <c r="F652">
        <v>87</v>
      </c>
      <c r="G652" t="s">
        <v>9</v>
      </c>
      <c r="H652" t="s">
        <v>415</v>
      </c>
      <c r="I652" t="s">
        <v>404</v>
      </c>
      <c r="J652" t="s">
        <v>405</v>
      </c>
      <c r="K652">
        <v>0</v>
      </c>
      <c r="L652" s="11" t="s">
        <v>406</v>
      </c>
      <c r="M652" t="s">
        <v>416</v>
      </c>
      <c r="N652" s="11" t="s">
        <v>417</v>
      </c>
      <c r="O652" t="s">
        <v>418</v>
      </c>
      <c r="P652" t="s">
        <v>415</v>
      </c>
      <c r="Q652">
        <v>1</v>
      </c>
      <c r="R652" s="11" t="s">
        <v>406</v>
      </c>
      <c r="S652" s="11" t="s">
        <v>406</v>
      </c>
      <c r="T652" s="11" t="s">
        <v>406</v>
      </c>
      <c r="U652" s="11" t="s">
        <v>419</v>
      </c>
      <c r="V652" s="11" t="s">
        <v>420</v>
      </c>
    </row>
    <row r="653" spans="1:22" ht="16" customHeight="1" x14ac:dyDescent="0.2">
      <c r="A653">
        <v>129</v>
      </c>
      <c r="B653" t="s">
        <v>274</v>
      </c>
      <c r="C653" t="s">
        <v>266</v>
      </c>
      <c r="D653" t="s">
        <v>31</v>
      </c>
      <c r="E653" t="s">
        <v>1099</v>
      </c>
      <c r="F653">
        <v>4391</v>
      </c>
      <c r="G653" t="s">
        <v>9</v>
      </c>
      <c r="H653" t="s">
        <v>415</v>
      </c>
      <c r="I653" t="s">
        <v>404</v>
      </c>
      <c r="J653" t="s">
        <v>405</v>
      </c>
      <c r="K653">
        <v>0</v>
      </c>
      <c r="L653" s="11" t="s">
        <v>406</v>
      </c>
      <c r="M653" t="s">
        <v>416</v>
      </c>
      <c r="N653" s="11" t="s">
        <v>417</v>
      </c>
      <c r="O653" t="s">
        <v>418</v>
      </c>
      <c r="P653" t="s">
        <v>415</v>
      </c>
      <c r="Q653">
        <v>1</v>
      </c>
      <c r="R653" s="11" t="s">
        <v>406</v>
      </c>
      <c r="S653" s="11" t="s">
        <v>406</v>
      </c>
      <c r="T653" s="11" t="s">
        <v>406</v>
      </c>
      <c r="U653" s="11" t="s">
        <v>419</v>
      </c>
      <c r="V653" s="11" t="s">
        <v>420</v>
      </c>
    </row>
    <row r="654" spans="1:22" ht="16" customHeight="1" x14ac:dyDescent="0.2">
      <c r="A654">
        <v>132</v>
      </c>
      <c r="B654" t="s">
        <v>281</v>
      </c>
      <c r="C654" t="s">
        <v>266</v>
      </c>
      <c r="D654" t="s">
        <v>31</v>
      </c>
      <c r="E654" t="s">
        <v>1100</v>
      </c>
      <c r="F654">
        <v>62</v>
      </c>
      <c r="G654" t="s">
        <v>9</v>
      </c>
      <c r="H654" t="s">
        <v>415</v>
      </c>
      <c r="I654" t="s">
        <v>404</v>
      </c>
      <c r="J654" t="s">
        <v>405</v>
      </c>
      <c r="K654">
        <v>0</v>
      </c>
      <c r="L654" s="11" t="s">
        <v>406</v>
      </c>
      <c r="M654" t="s">
        <v>416</v>
      </c>
      <c r="N654" s="11" t="s">
        <v>417</v>
      </c>
      <c r="O654" t="s">
        <v>418</v>
      </c>
      <c r="P654" t="s">
        <v>415</v>
      </c>
      <c r="Q654">
        <v>1</v>
      </c>
      <c r="R654" s="11" t="s">
        <v>406</v>
      </c>
      <c r="S654" s="11" t="s">
        <v>406</v>
      </c>
      <c r="T654" s="11" t="s">
        <v>406</v>
      </c>
      <c r="U654" s="11" t="s">
        <v>419</v>
      </c>
      <c r="V654" s="11" t="s">
        <v>420</v>
      </c>
    </row>
    <row r="655" spans="1:22" ht="16" customHeight="1" x14ac:dyDescent="0.2">
      <c r="A655">
        <v>145</v>
      </c>
      <c r="B655" t="s">
        <v>309</v>
      </c>
      <c r="C655" t="s">
        <v>282</v>
      </c>
      <c r="D655" t="s">
        <v>31</v>
      </c>
      <c r="E655" t="s">
        <v>1101</v>
      </c>
      <c r="F655">
        <v>4418</v>
      </c>
      <c r="G655" t="s">
        <v>9</v>
      </c>
      <c r="H655" t="s">
        <v>415</v>
      </c>
      <c r="I655" t="s">
        <v>404</v>
      </c>
      <c r="J655" t="s">
        <v>405</v>
      </c>
      <c r="K655">
        <v>0</v>
      </c>
      <c r="L655" s="11" t="s">
        <v>406</v>
      </c>
      <c r="M655" t="s">
        <v>416</v>
      </c>
      <c r="N655" s="11" t="s">
        <v>417</v>
      </c>
      <c r="O655" t="s">
        <v>418</v>
      </c>
      <c r="P655" t="s">
        <v>415</v>
      </c>
      <c r="Q655">
        <v>1</v>
      </c>
      <c r="R655" s="11" t="s">
        <v>406</v>
      </c>
      <c r="S655" s="11" t="s">
        <v>406</v>
      </c>
      <c r="T655" s="11" t="s">
        <v>406</v>
      </c>
      <c r="U655" s="11" t="s">
        <v>419</v>
      </c>
      <c r="V655" s="11" t="s">
        <v>420</v>
      </c>
    </row>
    <row r="656" spans="1:22" ht="16" customHeight="1" x14ac:dyDescent="0.2">
      <c r="A656">
        <v>148</v>
      </c>
      <c r="B656" t="s">
        <v>314</v>
      </c>
      <c r="C656" t="s">
        <v>310</v>
      </c>
      <c r="D656" t="s">
        <v>31</v>
      </c>
      <c r="E656" t="s">
        <v>1102</v>
      </c>
      <c r="F656">
        <v>251</v>
      </c>
      <c r="G656" t="s">
        <v>9</v>
      </c>
      <c r="H656" t="s">
        <v>415</v>
      </c>
      <c r="I656" t="s">
        <v>404</v>
      </c>
      <c r="J656" t="s">
        <v>522</v>
      </c>
      <c r="K656">
        <v>0</v>
      </c>
      <c r="L656" s="11" t="s">
        <v>406</v>
      </c>
      <c r="M656" t="s">
        <v>416</v>
      </c>
      <c r="N656" s="11" t="s">
        <v>1103</v>
      </c>
      <c r="O656" t="s">
        <v>418</v>
      </c>
      <c r="P656" t="s">
        <v>415</v>
      </c>
      <c r="Q656">
        <v>1</v>
      </c>
      <c r="R656" s="11" t="s">
        <v>406</v>
      </c>
      <c r="S656" s="11" t="s">
        <v>406</v>
      </c>
      <c r="T656" s="11" t="s">
        <v>406</v>
      </c>
      <c r="U656" s="11" t="s">
        <v>419</v>
      </c>
      <c r="V656" s="11" t="s">
        <v>1104</v>
      </c>
    </row>
    <row r="657" spans="1:22" ht="16" customHeight="1" x14ac:dyDescent="0.2">
      <c r="A657">
        <v>150</v>
      </c>
      <c r="B657" t="s">
        <v>318</v>
      </c>
      <c r="C657" t="s">
        <v>310</v>
      </c>
      <c r="D657" t="s">
        <v>31</v>
      </c>
      <c r="E657" t="s">
        <v>1105</v>
      </c>
      <c r="F657">
        <v>11</v>
      </c>
      <c r="G657" t="s">
        <v>9</v>
      </c>
      <c r="H657" t="s">
        <v>415</v>
      </c>
      <c r="I657" t="s">
        <v>404</v>
      </c>
      <c r="J657" t="s">
        <v>405</v>
      </c>
      <c r="K657">
        <v>0</v>
      </c>
      <c r="L657" s="11" t="s">
        <v>406</v>
      </c>
      <c r="M657" t="s">
        <v>416</v>
      </c>
      <c r="N657" s="11" t="s">
        <v>417</v>
      </c>
      <c r="O657" t="s">
        <v>418</v>
      </c>
      <c r="P657" t="s">
        <v>415</v>
      </c>
      <c r="Q657">
        <v>1</v>
      </c>
      <c r="R657" s="11" t="s">
        <v>406</v>
      </c>
      <c r="S657" s="11" t="s">
        <v>406</v>
      </c>
      <c r="T657" s="11" t="s">
        <v>406</v>
      </c>
      <c r="U657" s="11" t="s">
        <v>419</v>
      </c>
      <c r="V657" s="11" t="s">
        <v>420</v>
      </c>
    </row>
    <row r="658" spans="1:22" ht="16" customHeight="1" x14ac:dyDescent="0.2">
      <c r="A658">
        <v>152</v>
      </c>
      <c r="B658" t="s">
        <v>321</v>
      </c>
      <c r="C658" t="s">
        <v>319</v>
      </c>
      <c r="D658" t="s">
        <v>31</v>
      </c>
      <c r="E658" t="s">
        <v>1106</v>
      </c>
      <c r="F658">
        <v>393</v>
      </c>
      <c r="G658" t="s">
        <v>9</v>
      </c>
      <c r="H658" t="s">
        <v>415</v>
      </c>
      <c r="I658" t="s">
        <v>404</v>
      </c>
      <c r="J658" t="s">
        <v>405</v>
      </c>
      <c r="K658">
        <v>0</v>
      </c>
      <c r="L658" s="11" t="s">
        <v>406</v>
      </c>
      <c r="M658" t="s">
        <v>416</v>
      </c>
      <c r="N658" s="11" t="s">
        <v>417</v>
      </c>
      <c r="O658" t="s">
        <v>418</v>
      </c>
      <c r="P658" t="s">
        <v>415</v>
      </c>
      <c r="Q658">
        <v>1</v>
      </c>
      <c r="R658" s="11" t="s">
        <v>406</v>
      </c>
      <c r="S658" s="11" t="s">
        <v>406</v>
      </c>
      <c r="T658" s="11" t="s">
        <v>406</v>
      </c>
      <c r="U658" s="11" t="s">
        <v>419</v>
      </c>
      <c r="V658" s="11" t="s">
        <v>420</v>
      </c>
    </row>
    <row r="659" spans="1:22" ht="16" customHeight="1" x14ac:dyDescent="0.2">
      <c r="A659">
        <v>154</v>
      </c>
      <c r="B659" t="s">
        <v>325</v>
      </c>
      <c r="C659" t="s">
        <v>319</v>
      </c>
      <c r="D659" t="s">
        <v>31</v>
      </c>
      <c r="E659" t="s">
        <v>1107</v>
      </c>
      <c r="F659">
        <v>1431</v>
      </c>
      <c r="G659" t="s">
        <v>9</v>
      </c>
      <c r="H659" t="s">
        <v>415</v>
      </c>
      <c r="I659" t="s">
        <v>404</v>
      </c>
      <c r="J659" t="s">
        <v>405</v>
      </c>
      <c r="K659">
        <v>0</v>
      </c>
      <c r="L659" s="11" t="s">
        <v>406</v>
      </c>
      <c r="M659" t="s">
        <v>416</v>
      </c>
      <c r="N659" s="11" t="s">
        <v>417</v>
      </c>
      <c r="O659" t="s">
        <v>418</v>
      </c>
      <c r="P659" t="s">
        <v>415</v>
      </c>
      <c r="Q659">
        <v>1</v>
      </c>
      <c r="R659" s="11" t="s">
        <v>406</v>
      </c>
      <c r="S659" s="11" t="s">
        <v>406</v>
      </c>
      <c r="T659" s="11" t="s">
        <v>406</v>
      </c>
      <c r="U659" s="11" t="s">
        <v>419</v>
      </c>
      <c r="V659" s="11" t="s">
        <v>420</v>
      </c>
    </row>
    <row r="660" spans="1:22" ht="16" customHeight="1" x14ac:dyDescent="0.2">
      <c r="A660">
        <v>155</v>
      </c>
      <c r="B660" t="s">
        <v>327</v>
      </c>
      <c r="C660" t="s">
        <v>319</v>
      </c>
      <c r="D660" t="s">
        <v>31</v>
      </c>
      <c r="E660" t="s">
        <v>1108</v>
      </c>
      <c r="F660">
        <v>1601</v>
      </c>
      <c r="G660" t="s">
        <v>9</v>
      </c>
      <c r="H660" t="s">
        <v>415</v>
      </c>
      <c r="I660" t="s">
        <v>404</v>
      </c>
      <c r="J660" t="s">
        <v>405</v>
      </c>
      <c r="K660">
        <v>0</v>
      </c>
      <c r="L660" s="11" t="s">
        <v>406</v>
      </c>
      <c r="M660" t="s">
        <v>416</v>
      </c>
      <c r="N660" s="11" t="s">
        <v>417</v>
      </c>
      <c r="O660" t="s">
        <v>418</v>
      </c>
      <c r="P660" t="s">
        <v>415</v>
      </c>
      <c r="Q660">
        <v>1</v>
      </c>
      <c r="R660" s="11" t="s">
        <v>406</v>
      </c>
      <c r="S660" s="11" t="s">
        <v>406</v>
      </c>
      <c r="T660" s="11" t="s">
        <v>406</v>
      </c>
      <c r="U660" s="11" t="s">
        <v>419</v>
      </c>
      <c r="V660" s="11" t="s">
        <v>420</v>
      </c>
    </row>
    <row r="661" spans="1:22" ht="16" customHeight="1" x14ac:dyDescent="0.2">
      <c r="A661">
        <v>156</v>
      </c>
      <c r="B661" t="s">
        <v>329</v>
      </c>
      <c r="C661" t="s">
        <v>319</v>
      </c>
      <c r="D661" t="s">
        <v>31</v>
      </c>
      <c r="E661" t="s">
        <v>1109</v>
      </c>
      <c r="F661">
        <v>2740</v>
      </c>
      <c r="G661" t="s">
        <v>9</v>
      </c>
      <c r="H661" t="s">
        <v>415</v>
      </c>
      <c r="I661" t="s">
        <v>404</v>
      </c>
      <c r="J661" t="s">
        <v>405</v>
      </c>
      <c r="K661">
        <v>0</v>
      </c>
      <c r="L661" s="11" t="s">
        <v>406</v>
      </c>
      <c r="M661" t="s">
        <v>416</v>
      </c>
      <c r="N661" s="11" t="s">
        <v>417</v>
      </c>
      <c r="O661" t="s">
        <v>418</v>
      </c>
      <c r="P661" t="s">
        <v>415</v>
      </c>
      <c r="Q661">
        <v>1</v>
      </c>
      <c r="R661" s="11" t="s">
        <v>406</v>
      </c>
      <c r="S661" s="11" t="s">
        <v>406</v>
      </c>
      <c r="T661" s="11" t="s">
        <v>406</v>
      </c>
      <c r="U661" s="11" t="s">
        <v>419</v>
      </c>
      <c r="V661" s="11" t="s">
        <v>420</v>
      </c>
    </row>
    <row r="662" spans="1:22" ht="16" customHeight="1" x14ac:dyDescent="0.2">
      <c r="A662">
        <v>159</v>
      </c>
      <c r="B662" t="s">
        <v>335</v>
      </c>
      <c r="C662" t="s">
        <v>319</v>
      </c>
      <c r="D662" t="s">
        <v>31</v>
      </c>
      <c r="E662" t="s">
        <v>1110</v>
      </c>
      <c r="F662">
        <v>1942</v>
      </c>
      <c r="G662" t="s">
        <v>9</v>
      </c>
      <c r="H662" t="s">
        <v>415</v>
      </c>
      <c r="I662" t="s">
        <v>404</v>
      </c>
      <c r="J662" t="s">
        <v>405</v>
      </c>
      <c r="K662">
        <v>0</v>
      </c>
      <c r="L662" s="11" t="s">
        <v>406</v>
      </c>
      <c r="M662" t="s">
        <v>416</v>
      </c>
      <c r="N662" s="11" t="s">
        <v>417</v>
      </c>
      <c r="O662" t="s">
        <v>418</v>
      </c>
      <c r="P662" t="s">
        <v>415</v>
      </c>
      <c r="Q662">
        <v>1</v>
      </c>
      <c r="R662" s="11" t="s">
        <v>406</v>
      </c>
      <c r="S662" s="11" t="s">
        <v>406</v>
      </c>
      <c r="T662" s="11" t="s">
        <v>406</v>
      </c>
      <c r="U662" s="11" t="s">
        <v>419</v>
      </c>
      <c r="V662" s="11" t="s">
        <v>420</v>
      </c>
    </row>
    <row r="663" spans="1:22" ht="16" customHeight="1" x14ac:dyDescent="0.2">
      <c r="A663">
        <v>161</v>
      </c>
      <c r="B663" t="s">
        <v>339</v>
      </c>
      <c r="C663" t="s">
        <v>319</v>
      </c>
      <c r="D663" t="s">
        <v>31</v>
      </c>
      <c r="E663" t="s">
        <v>1111</v>
      </c>
      <c r="F663">
        <v>432</v>
      </c>
      <c r="G663" t="s">
        <v>9</v>
      </c>
      <c r="H663" t="s">
        <v>415</v>
      </c>
      <c r="I663" t="s">
        <v>404</v>
      </c>
      <c r="J663" t="s">
        <v>405</v>
      </c>
      <c r="K663">
        <v>0</v>
      </c>
      <c r="L663" s="11" t="s">
        <v>406</v>
      </c>
      <c r="M663" t="s">
        <v>416</v>
      </c>
      <c r="N663" s="11" t="s">
        <v>417</v>
      </c>
      <c r="O663" t="s">
        <v>418</v>
      </c>
      <c r="P663" t="s">
        <v>415</v>
      </c>
      <c r="Q663">
        <v>1</v>
      </c>
      <c r="R663" s="11" t="s">
        <v>406</v>
      </c>
      <c r="S663" s="11" t="s">
        <v>406</v>
      </c>
      <c r="T663" s="11" t="s">
        <v>406</v>
      </c>
      <c r="U663" s="11" t="s">
        <v>419</v>
      </c>
      <c r="V663" s="11" t="s">
        <v>420</v>
      </c>
    </row>
    <row r="664" spans="1:22" ht="16" customHeight="1" x14ac:dyDescent="0.2">
      <c r="A664">
        <v>163</v>
      </c>
      <c r="B664" t="s">
        <v>343</v>
      </c>
      <c r="C664" t="s">
        <v>319</v>
      </c>
      <c r="D664" t="s">
        <v>31</v>
      </c>
      <c r="E664" t="s">
        <v>1112</v>
      </c>
      <c r="F664">
        <v>183</v>
      </c>
      <c r="G664" t="s">
        <v>9</v>
      </c>
      <c r="H664" t="s">
        <v>415</v>
      </c>
      <c r="I664" t="s">
        <v>404</v>
      </c>
      <c r="J664" t="s">
        <v>522</v>
      </c>
      <c r="K664">
        <v>0</v>
      </c>
      <c r="L664" s="11" t="s">
        <v>406</v>
      </c>
      <c r="M664" t="s">
        <v>416</v>
      </c>
      <c r="N664" s="11" t="s">
        <v>1113</v>
      </c>
      <c r="O664" t="s">
        <v>418</v>
      </c>
      <c r="P664" t="s">
        <v>415</v>
      </c>
      <c r="Q664">
        <v>1</v>
      </c>
      <c r="R664" s="11" t="s">
        <v>406</v>
      </c>
      <c r="S664" s="11" t="s">
        <v>406</v>
      </c>
      <c r="T664" s="11" t="s">
        <v>406</v>
      </c>
      <c r="U664" s="11" t="s">
        <v>419</v>
      </c>
      <c r="V664" s="11" t="s">
        <v>1114</v>
      </c>
    </row>
    <row r="665" spans="1:22" ht="16" customHeight="1" x14ac:dyDescent="0.2">
      <c r="A665">
        <v>164</v>
      </c>
      <c r="B665" t="s">
        <v>345</v>
      </c>
      <c r="C665" t="s">
        <v>319</v>
      </c>
      <c r="D665" t="s">
        <v>31</v>
      </c>
      <c r="E665" t="s">
        <v>1115</v>
      </c>
      <c r="F665">
        <v>788</v>
      </c>
      <c r="G665" t="s">
        <v>9</v>
      </c>
      <c r="H665" t="s">
        <v>415</v>
      </c>
      <c r="I665" t="s">
        <v>404</v>
      </c>
      <c r="J665" t="s">
        <v>405</v>
      </c>
      <c r="K665">
        <v>0</v>
      </c>
      <c r="L665" s="11" t="s">
        <v>406</v>
      </c>
      <c r="M665" t="s">
        <v>416</v>
      </c>
      <c r="N665" s="11" t="s">
        <v>417</v>
      </c>
      <c r="O665" t="s">
        <v>418</v>
      </c>
      <c r="P665" t="s">
        <v>415</v>
      </c>
      <c r="Q665">
        <v>1</v>
      </c>
      <c r="R665" s="11" t="s">
        <v>406</v>
      </c>
      <c r="S665" s="11" t="s">
        <v>406</v>
      </c>
      <c r="T665" s="11" t="s">
        <v>406</v>
      </c>
      <c r="U665" s="11" t="s">
        <v>419</v>
      </c>
      <c r="V665" s="11" t="s">
        <v>420</v>
      </c>
    </row>
    <row r="666" spans="1:22" ht="16" customHeight="1" x14ac:dyDescent="0.2">
      <c r="A666">
        <v>168</v>
      </c>
      <c r="B666" t="s">
        <v>353</v>
      </c>
      <c r="C666" t="s">
        <v>319</v>
      </c>
      <c r="D666" t="s">
        <v>31</v>
      </c>
      <c r="E666" t="s">
        <v>1116</v>
      </c>
      <c r="F666">
        <v>1383</v>
      </c>
      <c r="G666" t="s">
        <v>9</v>
      </c>
      <c r="H666" t="s">
        <v>415</v>
      </c>
      <c r="I666" t="s">
        <v>404</v>
      </c>
      <c r="J666" t="s">
        <v>405</v>
      </c>
      <c r="K666">
        <v>0</v>
      </c>
      <c r="L666" s="11" t="s">
        <v>406</v>
      </c>
      <c r="M666" t="s">
        <v>416</v>
      </c>
      <c r="N666" s="11" t="s">
        <v>417</v>
      </c>
      <c r="O666" t="s">
        <v>418</v>
      </c>
      <c r="P666" t="s">
        <v>415</v>
      </c>
      <c r="Q666">
        <v>1</v>
      </c>
      <c r="R666" s="11" t="s">
        <v>406</v>
      </c>
      <c r="S666" s="11" t="s">
        <v>406</v>
      </c>
      <c r="T666" s="11" t="s">
        <v>406</v>
      </c>
      <c r="U666" s="11" t="s">
        <v>419</v>
      </c>
      <c r="V666" s="11" t="s">
        <v>420</v>
      </c>
    </row>
    <row r="667" spans="1:22" ht="16" customHeight="1" x14ac:dyDescent="0.2">
      <c r="A667">
        <v>169</v>
      </c>
      <c r="B667" t="s">
        <v>355</v>
      </c>
      <c r="C667" t="s">
        <v>319</v>
      </c>
      <c r="D667" t="s">
        <v>31</v>
      </c>
      <c r="E667" t="s">
        <v>1117</v>
      </c>
      <c r="F667">
        <v>422</v>
      </c>
      <c r="G667" t="s">
        <v>9</v>
      </c>
      <c r="H667" t="s">
        <v>415</v>
      </c>
      <c r="I667" t="s">
        <v>404</v>
      </c>
      <c r="J667" t="s">
        <v>522</v>
      </c>
      <c r="K667">
        <v>0</v>
      </c>
      <c r="L667" s="11" t="s">
        <v>406</v>
      </c>
      <c r="M667" t="s">
        <v>416</v>
      </c>
      <c r="N667" s="11" t="s">
        <v>1118</v>
      </c>
      <c r="O667" t="s">
        <v>418</v>
      </c>
      <c r="P667" t="s">
        <v>415</v>
      </c>
      <c r="Q667">
        <v>1</v>
      </c>
      <c r="R667" s="11" t="s">
        <v>406</v>
      </c>
      <c r="S667" s="11" t="s">
        <v>406</v>
      </c>
      <c r="T667" s="11" t="s">
        <v>406</v>
      </c>
      <c r="U667" s="11" t="s">
        <v>419</v>
      </c>
      <c r="V667" s="11" t="s">
        <v>1119</v>
      </c>
    </row>
    <row r="668" spans="1:22" ht="16" customHeight="1" x14ac:dyDescent="0.2">
      <c r="A668">
        <v>170</v>
      </c>
      <c r="B668" t="s">
        <v>357</v>
      </c>
      <c r="C668" t="s">
        <v>319</v>
      </c>
      <c r="D668" t="s">
        <v>31</v>
      </c>
      <c r="E668" t="s">
        <v>1120</v>
      </c>
      <c r="F668">
        <v>385</v>
      </c>
      <c r="G668" t="s">
        <v>9</v>
      </c>
      <c r="H668" t="s">
        <v>415</v>
      </c>
      <c r="I668" t="s">
        <v>404</v>
      </c>
      <c r="J668" t="s">
        <v>405</v>
      </c>
      <c r="K668">
        <v>0</v>
      </c>
      <c r="L668" s="11" t="s">
        <v>406</v>
      </c>
      <c r="M668" t="s">
        <v>416</v>
      </c>
      <c r="N668" s="11" t="s">
        <v>417</v>
      </c>
      <c r="O668" t="s">
        <v>418</v>
      </c>
      <c r="P668" t="s">
        <v>415</v>
      </c>
      <c r="Q668">
        <v>1</v>
      </c>
      <c r="R668" s="11" t="s">
        <v>406</v>
      </c>
      <c r="S668" s="11" t="s">
        <v>406</v>
      </c>
      <c r="T668" s="11" t="s">
        <v>406</v>
      </c>
      <c r="U668" s="11" t="s">
        <v>419</v>
      </c>
      <c r="V668" s="11" t="s">
        <v>420</v>
      </c>
    </row>
    <row r="669" spans="1:22" ht="16" customHeight="1" x14ac:dyDescent="0.2">
      <c r="A669">
        <v>174</v>
      </c>
      <c r="B669" t="s">
        <v>365</v>
      </c>
      <c r="C669" t="s">
        <v>319</v>
      </c>
      <c r="D669" t="s">
        <v>31</v>
      </c>
      <c r="E669" t="s">
        <v>1121</v>
      </c>
      <c r="F669">
        <v>772</v>
      </c>
      <c r="G669" t="s">
        <v>9</v>
      </c>
      <c r="H669" t="s">
        <v>415</v>
      </c>
      <c r="I669" t="s">
        <v>404</v>
      </c>
      <c r="J669" t="s">
        <v>405</v>
      </c>
      <c r="K669">
        <v>0</v>
      </c>
      <c r="L669" s="11" t="s">
        <v>406</v>
      </c>
      <c r="M669" t="s">
        <v>416</v>
      </c>
      <c r="N669" s="11" t="s">
        <v>417</v>
      </c>
      <c r="O669" t="s">
        <v>418</v>
      </c>
      <c r="P669" t="s">
        <v>415</v>
      </c>
      <c r="Q669">
        <v>1</v>
      </c>
      <c r="R669" s="11" t="s">
        <v>406</v>
      </c>
      <c r="S669" s="11" t="s">
        <v>406</v>
      </c>
      <c r="T669" s="11" t="s">
        <v>406</v>
      </c>
      <c r="U669" s="11" t="s">
        <v>419</v>
      </c>
      <c r="V669" s="11" t="s">
        <v>420</v>
      </c>
    </row>
    <row r="670" spans="1:22" ht="16" customHeight="1" x14ac:dyDescent="0.2">
      <c r="A670">
        <v>180</v>
      </c>
      <c r="B670" t="s">
        <v>378</v>
      </c>
      <c r="C670" t="s">
        <v>319</v>
      </c>
      <c r="D670" t="s">
        <v>31</v>
      </c>
      <c r="E670" t="s">
        <v>1122</v>
      </c>
      <c r="F670">
        <v>214</v>
      </c>
      <c r="G670" t="s">
        <v>9</v>
      </c>
      <c r="H670" t="s">
        <v>415</v>
      </c>
      <c r="I670" t="s">
        <v>404</v>
      </c>
      <c r="J670" t="s">
        <v>405</v>
      </c>
      <c r="K670">
        <v>0</v>
      </c>
      <c r="L670" s="11" t="s">
        <v>406</v>
      </c>
      <c r="M670" t="s">
        <v>416</v>
      </c>
      <c r="N670" s="11" t="s">
        <v>417</v>
      </c>
      <c r="O670" t="s">
        <v>418</v>
      </c>
      <c r="P670" t="s">
        <v>415</v>
      </c>
      <c r="Q670">
        <v>1</v>
      </c>
      <c r="R670" s="11" t="s">
        <v>406</v>
      </c>
      <c r="S670" s="11" t="s">
        <v>406</v>
      </c>
      <c r="T670" s="11" t="s">
        <v>406</v>
      </c>
      <c r="U670" s="11" t="s">
        <v>419</v>
      </c>
      <c r="V670" s="11" t="s">
        <v>420</v>
      </c>
    </row>
  </sheetData>
  <autoFilter ref="A1:V670" xr:uid="{00000000-0009-0000-0000-000000000000}">
    <sortState xmlns:xlrd2="http://schemas.microsoft.com/office/spreadsheetml/2017/richdata2" ref="A2:T533">
      <sortCondition ref="A1:A533"/>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92"/>
  <sheetViews>
    <sheetView workbookViewId="0">
      <pane xSplit="7" ySplit="1" topLeftCell="H43" activePane="bottomRight" state="frozen"/>
      <selection pane="topRight"/>
      <selection pane="bottomLeft"/>
      <selection pane="bottomRight" activeCell="C65" sqref="C65"/>
    </sheetView>
  </sheetViews>
  <sheetFormatPr baseColWidth="10" defaultColWidth="8.83203125" defaultRowHeight="15" x14ac:dyDescent="0.2"/>
  <cols>
    <col min="1" max="1" width="12" customWidth="1"/>
    <col min="2" max="2" width="36" customWidth="1"/>
    <col min="3" max="3" width="40" customWidth="1"/>
    <col min="4" max="4" width="14" customWidth="1"/>
    <col min="5" max="5" width="11" customWidth="1"/>
    <col min="6" max="6" width="30" customWidth="1"/>
    <col min="7" max="7" width="9" customWidth="1"/>
    <col min="8" max="27" width="11" customWidth="1"/>
    <col min="28" max="28" width="80" customWidth="1"/>
  </cols>
  <sheetData>
    <row r="1" spans="1:28" x14ac:dyDescent="0.2">
      <c r="A1" s="4" t="s">
        <v>1</v>
      </c>
      <c r="B1" s="4" t="s">
        <v>2</v>
      </c>
      <c r="C1" s="4" t="s">
        <v>1123</v>
      </c>
      <c r="D1" s="4" t="s">
        <v>1124</v>
      </c>
      <c r="E1" s="4" t="s">
        <v>4</v>
      </c>
      <c r="F1" s="4" t="s">
        <v>1125</v>
      </c>
      <c r="G1" s="4" t="s">
        <v>1126</v>
      </c>
      <c r="H1" s="4" t="s">
        <v>6</v>
      </c>
      <c r="I1" s="4" t="s">
        <v>7</v>
      </c>
      <c r="J1" s="4" t="s">
        <v>8</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401</v>
      </c>
    </row>
    <row r="2" spans="1:28" x14ac:dyDescent="0.2">
      <c r="A2">
        <v>87</v>
      </c>
      <c r="B2" t="s">
        <v>195</v>
      </c>
      <c r="C2" t="s">
        <v>1127</v>
      </c>
      <c r="D2" t="s">
        <v>439</v>
      </c>
      <c r="E2" t="s">
        <v>31</v>
      </c>
      <c r="F2" t="s">
        <v>1128</v>
      </c>
      <c r="G2">
        <v>28</v>
      </c>
      <c r="H2">
        <v>36</v>
      </c>
      <c r="I2">
        <v>1</v>
      </c>
      <c r="J2">
        <v>0.6</v>
      </c>
      <c r="K2">
        <v>7.9</v>
      </c>
      <c r="L2">
        <v>1</v>
      </c>
      <c r="M2">
        <v>0.6</v>
      </c>
      <c r="O2">
        <v>3784</v>
      </c>
      <c r="P2">
        <v>0.04</v>
      </c>
      <c r="Q2">
        <v>0.04</v>
      </c>
      <c r="R2">
        <v>1</v>
      </c>
      <c r="S2">
        <v>18</v>
      </c>
      <c r="T2">
        <v>45</v>
      </c>
      <c r="U2">
        <v>0.06</v>
      </c>
      <c r="V2">
        <v>1</v>
      </c>
      <c r="W2">
        <v>74</v>
      </c>
      <c r="X2">
        <v>245</v>
      </c>
      <c r="Y2">
        <v>70</v>
      </c>
      <c r="Z2">
        <v>0.3</v>
      </c>
      <c r="AA2">
        <v>80</v>
      </c>
      <c r="AB2" t="s">
        <v>1129</v>
      </c>
    </row>
    <row r="3" spans="1:28" x14ac:dyDescent="0.2">
      <c r="A3">
        <v>87</v>
      </c>
      <c r="B3" t="s">
        <v>195</v>
      </c>
      <c r="C3" t="s">
        <v>1127</v>
      </c>
      <c r="D3" t="s">
        <v>1130</v>
      </c>
      <c r="E3" t="s">
        <v>31</v>
      </c>
      <c r="F3" t="s">
        <v>1131</v>
      </c>
      <c r="G3">
        <v>25</v>
      </c>
      <c r="H3">
        <v>51</v>
      </c>
      <c r="I3">
        <v>2.5</v>
      </c>
      <c r="J3">
        <v>1.1000000000000001</v>
      </c>
      <c r="K3">
        <v>8</v>
      </c>
      <c r="L3">
        <v>3.4</v>
      </c>
      <c r="M3">
        <v>2.2000000000000002</v>
      </c>
      <c r="O3">
        <v>9999</v>
      </c>
      <c r="P3">
        <v>0.4</v>
      </c>
      <c r="Q3">
        <v>0.1</v>
      </c>
      <c r="R3">
        <v>0.2</v>
      </c>
      <c r="S3">
        <v>16</v>
      </c>
      <c r="T3">
        <v>100</v>
      </c>
      <c r="U3">
        <v>0.9</v>
      </c>
      <c r="V3">
        <v>3.4</v>
      </c>
      <c r="W3">
        <v>50</v>
      </c>
      <c r="X3">
        <v>100</v>
      </c>
      <c r="Y3">
        <v>50</v>
      </c>
      <c r="Z3">
        <v>0.6</v>
      </c>
      <c r="AA3">
        <v>75</v>
      </c>
      <c r="AB3" t="s">
        <v>1132</v>
      </c>
    </row>
    <row r="4" spans="1:28" x14ac:dyDescent="0.2">
      <c r="A4">
        <v>87</v>
      </c>
      <c r="B4" t="s">
        <v>195</v>
      </c>
      <c r="C4" t="s">
        <v>1127</v>
      </c>
      <c r="D4" t="s">
        <v>1076</v>
      </c>
      <c r="E4" t="s">
        <v>31</v>
      </c>
      <c r="F4" t="s">
        <v>1133</v>
      </c>
      <c r="G4">
        <v>15</v>
      </c>
      <c r="H4">
        <v>34</v>
      </c>
      <c r="I4">
        <v>2.4</v>
      </c>
      <c r="J4">
        <v>0.3</v>
      </c>
      <c r="K4">
        <v>7.2</v>
      </c>
      <c r="L4">
        <v>1.9</v>
      </c>
      <c r="M4">
        <v>0.5</v>
      </c>
      <c r="N4">
        <v>0</v>
      </c>
      <c r="O4">
        <v>772</v>
      </c>
      <c r="P4">
        <v>0.05</v>
      </c>
      <c r="Q4">
        <v>0.4</v>
      </c>
      <c r="R4">
        <v>2.8</v>
      </c>
      <c r="S4">
        <v>11</v>
      </c>
      <c r="T4">
        <v>101</v>
      </c>
      <c r="U4">
        <v>7.0000000000000007E-2</v>
      </c>
      <c r="V4">
        <v>0.7</v>
      </c>
      <c r="W4">
        <v>42</v>
      </c>
      <c r="X4">
        <v>250</v>
      </c>
      <c r="Y4">
        <v>8</v>
      </c>
      <c r="Z4">
        <v>0.3</v>
      </c>
      <c r="AA4">
        <v>90</v>
      </c>
      <c r="AB4" t="s">
        <v>1134</v>
      </c>
    </row>
    <row r="5" spans="1:28" x14ac:dyDescent="0.2">
      <c r="A5">
        <v>87</v>
      </c>
      <c r="B5" t="s">
        <v>195</v>
      </c>
      <c r="C5" t="s">
        <v>1127</v>
      </c>
      <c r="D5" t="s">
        <v>1135</v>
      </c>
      <c r="E5" t="s">
        <v>31</v>
      </c>
      <c r="F5" t="s">
        <v>1136</v>
      </c>
      <c r="G5">
        <v>10</v>
      </c>
      <c r="H5">
        <v>62</v>
      </c>
      <c r="I5">
        <v>2.1</v>
      </c>
      <c r="J5">
        <v>0.2</v>
      </c>
      <c r="K5">
        <v>13.5</v>
      </c>
      <c r="L5">
        <v>0.5</v>
      </c>
      <c r="M5">
        <v>0.8</v>
      </c>
      <c r="N5">
        <v>0</v>
      </c>
      <c r="O5">
        <v>0</v>
      </c>
      <c r="P5">
        <v>0.09</v>
      </c>
      <c r="Q5">
        <v>0.1</v>
      </c>
      <c r="R5">
        <v>1</v>
      </c>
      <c r="S5">
        <v>21</v>
      </c>
      <c r="T5">
        <v>63</v>
      </c>
      <c r="U5">
        <v>0.4</v>
      </c>
      <c r="V5">
        <v>0.7</v>
      </c>
      <c r="W5">
        <v>58</v>
      </c>
      <c r="X5">
        <v>396</v>
      </c>
      <c r="Y5">
        <v>7</v>
      </c>
      <c r="Z5">
        <v>0.3</v>
      </c>
      <c r="AA5">
        <v>85</v>
      </c>
      <c r="AB5" t="s">
        <v>1137</v>
      </c>
    </row>
    <row r="6" spans="1:28" x14ac:dyDescent="0.2">
      <c r="A6">
        <v>87</v>
      </c>
      <c r="B6" t="s">
        <v>195</v>
      </c>
      <c r="C6" t="s">
        <v>1127</v>
      </c>
      <c r="D6" t="s">
        <v>1074</v>
      </c>
      <c r="E6" t="s">
        <v>31</v>
      </c>
      <c r="F6" t="s">
        <v>1138</v>
      </c>
      <c r="G6">
        <v>10</v>
      </c>
      <c r="H6">
        <v>9</v>
      </c>
      <c r="I6">
        <v>1</v>
      </c>
      <c r="J6">
        <v>0.1</v>
      </c>
      <c r="K6">
        <v>1.7</v>
      </c>
      <c r="L6">
        <v>0.8</v>
      </c>
      <c r="M6">
        <v>0.6</v>
      </c>
      <c r="N6">
        <v>0</v>
      </c>
      <c r="O6">
        <v>862</v>
      </c>
      <c r="P6">
        <v>0.05</v>
      </c>
      <c r="Q6">
        <v>0.18</v>
      </c>
      <c r="R6">
        <v>0.4</v>
      </c>
      <c r="S6">
        <v>3</v>
      </c>
      <c r="T6">
        <v>56</v>
      </c>
      <c r="U6">
        <v>0.05</v>
      </c>
      <c r="V6">
        <v>1.1000000000000001</v>
      </c>
      <c r="W6">
        <v>42</v>
      </c>
      <c r="X6">
        <v>193.1</v>
      </c>
      <c r="Y6">
        <v>5</v>
      </c>
      <c r="Z6">
        <v>0.1</v>
      </c>
      <c r="AA6">
        <v>79</v>
      </c>
      <c r="AB6" t="s">
        <v>1139</v>
      </c>
    </row>
    <row r="7" spans="1:28" x14ac:dyDescent="0.2">
      <c r="A7">
        <v>87</v>
      </c>
      <c r="B7" t="s">
        <v>195</v>
      </c>
      <c r="C7" t="s">
        <v>1127</v>
      </c>
      <c r="D7" t="s">
        <v>1140</v>
      </c>
      <c r="E7" t="s">
        <v>31</v>
      </c>
      <c r="F7" t="s">
        <v>1141</v>
      </c>
      <c r="G7">
        <v>5</v>
      </c>
      <c r="H7">
        <v>41</v>
      </c>
      <c r="I7">
        <v>2</v>
      </c>
      <c r="J7">
        <v>0.3</v>
      </c>
      <c r="K7">
        <v>7.8</v>
      </c>
      <c r="L7">
        <v>2.1</v>
      </c>
      <c r="M7">
        <v>0.8</v>
      </c>
      <c r="N7">
        <v>0</v>
      </c>
      <c r="O7">
        <v>218</v>
      </c>
      <c r="P7">
        <v>0.1</v>
      </c>
      <c r="Q7">
        <v>0.1</v>
      </c>
      <c r="R7">
        <v>0.2</v>
      </c>
      <c r="S7">
        <v>11</v>
      </c>
      <c r="T7">
        <v>60</v>
      </c>
      <c r="U7">
        <v>0.1</v>
      </c>
      <c r="V7">
        <v>2.2999999999999998</v>
      </c>
      <c r="W7">
        <v>40</v>
      </c>
      <c r="X7">
        <v>90</v>
      </c>
      <c r="Y7">
        <v>30</v>
      </c>
      <c r="Z7">
        <v>0.3</v>
      </c>
      <c r="AA7">
        <v>67</v>
      </c>
      <c r="AB7" t="s">
        <v>1142</v>
      </c>
    </row>
    <row r="8" spans="1:28" x14ac:dyDescent="0.2">
      <c r="A8">
        <v>87</v>
      </c>
      <c r="B8" t="s">
        <v>195</v>
      </c>
      <c r="C8" t="s">
        <v>1127</v>
      </c>
      <c r="D8" t="s">
        <v>1143</v>
      </c>
      <c r="E8" t="s">
        <v>31</v>
      </c>
      <c r="F8" t="s">
        <v>1144</v>
      </c>
      <c r="G8">
        <v>5</v>
      </c>
      <c r="H8">
        <v>23</v>
      </c>
      <c r="I8">
        <v>1</v>
      </c>
      <c r="J8">
        <v>0.1</v>
      </c>
      <c r="K8">
        <v>4.5999999999999996</v>
      </c>
      <c r="L8">
        <v>2</v>
      </c>
      <c r="M8">
        <v>1.3</v>
      </c>
      <c r="O8">
        <v>63</v>
      </c>
      <c r="P8">
        <v>0.03</v>
      </c>
      <c r="Q8">
        <v>7.0000000000000007E-2</v>
      </c>
      <c r="R8">
        <v>0.4</v>
      </c>
      <c r="S8">
        <v>11</v>
      </c>
      <c r="T8">
        <v>50</v>
      </c>
      <c r="U8">
        <v>0.08</v>
      </c>
      <c r="V8">
        <v>1</v>
      </c>
      <c r="W8">
        <v>40</v>
      </c>
      <c r="X8">
        <v>258.8</v>
      </c>
      <c r="Y8">
        <v>64.5</v>
      </c>
      <c r="Z8">
        <v>0.4</v>
      </c>
      <c r="AA8">
        <v>63</v>
      </c>
      <c r="AB8" t="s">
        <v>1145</v>
      </c>
    </row>
    <row r="9" spans="1:28" x14ac:dyDescent="0.2">
      <c r="A9">
        <v>87</v>
      </c>
      <c r="B9" t="s">
        <v>195</v>
      </c>
      <c r="C9" t="s">
        <v>1127</v>
      </c>
      <c r="D9" t="s">
        <v>511</v>
      </c>
      <c r="E9" t="s">
        <v>31</v>
      </c>
      <c r="F9" t="s">
        <v>1146</v>
      </c>
      <c r="G9">
        <v>1</v>
      </c>
      <c r="H9">
        <v>365</v>
      </c>
      <c r="I9">
        <v>11.5</v>
      </c>
      <c r="J9">
        <v>6.8</v>
      </c>
      <c r="K9">
        <v>64.400000000000006</v>
      </c>
      <c r="L9">
        <v>1</v>
      </c>
      <c r="M9">
        <v>4.4000000000000004</v>
      </c>
      <c r="O9">
        <v>0</v>
      </c>
      <c r="P9">
        <v>0.2</v>
      </c>
      <c r="Q9">
        <v>0.1</v>
      </c>
      <c r="R9">
        <v>2.5</v>
      </c>
      <c r="T9">
        <v>460</v>
      </c>
      <c r="U9">
        <v>0.89</v>
      </c>
      <c r="V9">
        <v>16.399999999999999</v>
      </c>
      <c r="W9">
        <v>200</v>
      </c>
      <c r="X9">
        <v>99.7</v>
      </c>
      <c r="Y9">
        <v>4</v>
      </c>
      <c r="Z9">
        <v>1.1000000000000001</v>
      </c>
      <c r="AA9">
        <v>100</v>
      </c>
      <c r="AB9" t="s">
        <v>1147</v>
      </c>
    </row>
    <row r="10" spans="1:28" x14ac:dyDescent="0.2">
      <c r="A10">
        <v>87</v>
      </c>
      <c r="B10" t="s">
        <v>195</v>
      </c>
      <c r="C10" t="s">
        <v>1127</v>
      </c>
      <c r="D10" t="s">
        <v>1148</v>
      </c>
      <c r="E10" t="s">
        <v>31</v>
      </c>
      <c r="F10" t="s">
        <v>1149</v>
      </c>
      <c r="G10">
        <v>1</v>
      </c>
      <c r="H10">
        <v>518</v>
      </c>
      <c r="I10">
        <v>7.5</v>
      </c>
      <c r="J10">
        <v>36.4</v>
      </c>
      <c r="K10">
        <v>40.1</v>
      </c>
      <c r="L10">
        <v>3.5</v>
      </c>
      <c r="M10">
        <v>1.7</v>
      </c>
      <c r="O10">
        <v>7</v>
      </c>
      <c r="P10">
        <v>0.2</v>
      </c>
      <c r="Q10">
        <v>0.02</v>
      </c>
      <c r="R10">
        <v>0.5</v>
      </c>
      <c r="S10">
        <v>0</v>
      </c>
      <c r="T10">
        <v>120</v>
      </c>
      <c r="U10">
        <v>0.94</v>
      </c>
      <c r="V10">
        <v>4.5999999999999996</v>
      </c>
      <c r="W10">
        <v>240</v>
      </c>
      <c r="X10">
        <v>78.7</v>
      </c>
      <c r="Y10">
        <v>2</v>
      </c>
      <c r="Z10">
        <v>2</v>
      </c>
      <c r="AA10">
        <v>95</v>
      </c>
      <c r="AB10" t="s">
        <v>1150</v>
      </c>
    </row>
    <row r="11" spans="1:28" x14ac:dyDescent="0.2">
      <c r="A11" s="5">
        <v>87</v>
      </c>
      <c r="B11" s="5" t="s">
        <v>195</v>
      </c>
      <c r="C11" s="5" t="s">
        <v>1127</v>
      </c>
      <c r="D11" s="5"/>
      <c r="E11" s="5" t="s">
        <v>1151</v>
      </c>
      <c r="F11" s="5" t="s">
        <v>1152</v>
      </c>
      <c r="G11" s="5">
        <f>SUM(G2:G10)</f>
        <v>100</v>
      </c>
      <c r="H11" s="5">
        <f t="shared" ref="H11:AA11" si="0">SUMPRODUCT($G$2:$G$10/100,H2:H10)</f>
        <v>47.059999999999995</v>
      </c>
      <c r="I11" s="5">
        <f t="shared" si="0"/>
        <v>1.9150000000000003</v>
      </c>
      <c r="J11" s="5">
        <f t="shared" si="0"/>
        <v>0.97000000000000008</v>
      </c>
      <c r="K11" s="5">
        <f t="shared" si="0"/>
        <v>8.4769999999999985</v>
      </c>
      <c r="L11" s="5">
        <f t="shared" si="0"/>
        <v>1.7949999999999999</v>
      </c>
      <c r="M11" s="5">
        <f t="shared" si="0"/>
        <v>1.099</v>
      </c>
      <c r="N11" s="5">
        <f t="shared" si="0"/>
        <v>0</v>
      </c>
      <c r="O11" s="5">
        <f t="shared" si="0"/>
        <v>3775.3900000000008</v>
      </c>
      <c r="P11" s="5">
        <f t="shared" si="0"/>
        <v>0.14320000000000002</v>
      </c>
      <c r="Q11" s="5">
        <f t="shared" si="0"/>
        <v>0.13390000000000002</v>
      </c>
      <c r="R11" s="5">
        <f t="shared" si="0"/>
        <v>0.95000000000000007</v>
      </c>
      <c r="S11" s="5">
        <f t="shared" si="0"/>
        <v>14.190000000000003</v>
      </c>
      <c r="T11" s="5">
        <f t="shared" si="0"/>
        <v>75.949999999999989</v>
      </c>
      <c r="U11" s="5">
        <f t="shared" si="0"/>
        <v>0.32460000000000006</v>
      </c>
      <c r="V11" s="5">
        <f t="shared" si="0"/>
        <v>1.79</v>
      </c>
      <c r="W11" s="5">
        <f t="shared" si="0"/>
        <v>57.919999999999995</v>
      </c>
      <c r="X11" s="5">
        <f t="shared" si="0"/>
        <v>209.23400000000004</v>
      </c>
      <c r="Y11" s="5">
        <f t="shared" si="0"/>
        <v>39.285000000000011</v>
      </c>
      <c r="Z11" s="5">
        <f t="shared" si="0"/>
        <v>0.38500000000000001</v>
      </c>
      <c r="AA11" s="5">
        <f t="shared" si="0"/>
        <v>79.500000000000014</v>
      </c>
      <c r="AB11" s="6" t="s">
        <v>1153</v>
      </c>
    </row>
    <row r="12" spans="1:28" x14ac:dyDescent="0.2">
      <c r="A12">
        <v>88</v>
      </c>
      <c r="B12" t="s">
        <v>197</v>
      </c>
      <c r="C12" t="s">
        <v>1127</v>
      </c>
      <c r="D12" t="s">
        <v>1077</v>
      </c>
      <c r="E12" t="s">
        <v>31</v>
      </c>
      <c r="F12" t="s">
        <v>1154</v>
      </c>
      <c r="G12">
        <v>25</v>
      </c>
      <c r="H12">
        <v>31</v>
      </c>
      <c r="I12">
        <v>2.2999999999999998</v>
      </c>
      <c r="J12">
        <v>0.1</v>
      </c>
      <c r="K12">
        <v>5.3</v>
      </c>
      <c r="L12">
        <v>2.7</v>
      </c>
      <c r="M12">
        <v>0.5</v>
      </c>
      <c r="N12">
        <v>0</v>
      </c>
      <c r="O12">
        <v>125</v>
      </c>
      <c r="P12">
        <v>0.7</v>
      </c>
      <c r="Q12">
        <v>0.1</v>
      </c>
      <c r="R12">
        <v>0.3</v>
      </c>
      <c r="S12">
        <v>46</v>
      </c>
      <c r="T12">
        <v>60</v>
      </c>
      <c r="U12">
        <v>0.1</v>
      </c>
      <c r="V12">
        <v>0.6</v>
      </c>
      <c r="W12">
        <v>64</v>
      </c>
      <c r="X12">
        <v>213</v>
      </c>
      <c r="Y12">
        <v>30</v>
      </c>
      <c r="Z12">
        <v>0.5</v>
      </c>
      <c r="AA12">
        <v>92</v>
      </c>
      <c r="AB12" t="s">
        <v>1155</v>
      </c>
    </row>
    <row r="13" spans="1:28" x14ac:dyDescent="0.2">
      <c r="A13">
        <v>88</v>
      </c>
      <c r="B13" t="s">
        <v>197</v>
      </c>
      <c r="C13" t="s">
        <v>1127</v>
      </c>
      <c r="D13" t="s">
        <v>1156</v>
      </c>
      <c r="E13" t="s">
        <v>31</v>
      </c>
      <c r="F13" t="s">
        <v>1157</v>
      </c>
      <c r="G13">
        <v>20</v>
      </c>
      <c r="H13">
        <v>30</v>
      </c>
      <c r="I13">
        <v>0.6</v>
      </c>
      <c r="J13">
        <v>0.1</v>
      </c>
      <c r="K13">
        <v>6.7</v>
      </c>
      <c r="L13">
        <v>6.2</v>
      </c>
      <c r="M13">
        <v>0.3</v>
      </c>
      <c r="O13">
        <v>48</v>
      </c>
      <c r="P13">
        <v>0.02</v>
      </c>
      <c r="Q13">
        <v>0</v>
      </c>
      <c r="R13">
        <v>0.6</v>
      </c>
      <c r="S13">
        <v>18</v>
      </c>
      <c r="T13">
        <v>14</v>
      </c>
      <c r="U13">
        <v>0.16</v>
      </c>
      <c r="V13">
        <v>0.5</v>
      </c>
      <c r="W13">
        <v>25</v>
      </c>
      <c r="X13">
        <v>167.1</v>
      </c>
      <c r="Y13">
        <v>2.7</v>
      </c>
      <c r="Z13">
        <v>1</v>
      </c>
      <c r="AA13">
        <v>83</v>
      </c>
      <c r="AB13" t="s">
        <v>1158</v>
      </c>
    </row>
    <row r="14" spans="1:28" x14ac:dyDescent="0.2">
      <c r="A14">
        <v>88</v>
      </c>
      <c r="B14" t="s">
        <v>197</v>
      </c>
      <c r="C14" t="s">
        <v>1127</v>
      </c>
      <c r="D14" t="s">
        <v>1159</v>
      </c>
      <c r="E14" t="s">
        <v>31</v>
      </c>
      <c r="F14" t="s">
        <v>1160</v>
      </c>
      <c r="G14">
        <v>15</v>
      </c>
      <c r="H14">
        <v>35</v>
      </c>
      <c r="I14">
        <v>2.2000000000000002</v>
      </c>
      <c r="J14">
        <v>0.1</v>
      </c>
      <c r="K14">
        <v>7.4</v>
      </c>
      <c r="L14">
        <v>1.9</v>
      </c>
      <c r="M14">
        <v>0.8</v>
      </c>
      <c r="N14">
        <v>0</v>
      </c>
      <c r="O14">
        <v>23</v>
      </c>
      <c r="P14">
        <v>0.08</v>
      </c>
      <c r="Q14">
        <v>0.16</v>
      </c>
      <c r="R14">
        <v>0.9</v>
      </c>
      <c r="S14">
        <v>8</v>
      </c>
      <c r="T14">
        <v>7</v>
      </c>
      <c r="U14">
        <v>0.1</v>
      </c>
      <c r="V14">
        <v>0.5</v>
      </c>
      <c r="W14">
        <v>100</v>
      </c>
      <c r="X14">
        <v>230.2</v>
      </c>
      <c r="Y14">
        <v>353</v>
      </c>
      <c r="Z14">
        <v>0.8</v>
      </c>
      <c r="AA14">
        <v>100</v>
      </c>
      <c r="AB14" t="s">
        <v>1161</v>
      </c>
    </row>
    <row r="15" spans="1:28" x14ac:dyDescent="0.2">
      <c r="A15">
        <v>88</v>
      </c>
      <c r="B15" t="s">
        <v>197</v>
      </c>
      <c r="C15" t="s">
        <v>1127</v>
      </c>
      <c r="D15" t="s">
        <v>1162</v>
      </c>
      <c r="E15" t="s">
        <v>31</v>
      </c>
      <c r="F15" t="s">
        <v>1163</v>
      </c>
      <c r="G15">
        <v>10</v>
      </c>
      <c r="H15">
        <v>28</v>
      </c>
      <c r="I15">
        <v>1.1000000000000001</v>
      </c>
      <c r="J15">
        <v>0.2</v>
      </c>
      <c r="K15">
        <v>5.5</v>
      </c>
      <c r="L15">
        <v>2.1</v>
      </c>
      <c r="M15">
        <v>0.5</v>
      </c>
      <c r="O15">
        <v>46</v>
      </c>
      <c r="P15">
        <v>0.04</v>
      </c>
      <c r="Q15">
        <v>0.03</v>
      </c>
      <c r="R15">
        <v>0.5</v>
      </c>
      <c r="S15">
        <v>5</v>
      </c>
      <c r="T15">
        <v>15</v>
      </c>
      <c r="U15">
        <v>0.1</v>
      </c>
      <c r="V15">
        <v>0.4</v>
      </c>
      <c r="W15">
        <v>37</v>
      </c>
      <c r="X15">
        <v>187</v>
      </c>
      <c r="Y15">
        <v>8.9</v>
      </c>
      <c r="Z15">
        <v>0.1</v>
      </c>
      <c r="AA15">
        <v>100</v>
      </c>
      <c r="AB15" t="s">
        <v>1164</v>
      </c>
    </row>
    <row r="16" spans="1:28" x14ac:dyDescent="0.2">
      <c r="A16">
        <v>88</v>
      </c>
      <c r="B16" t="s">
        <v>197</v>
      </c>
      <c r="C16" t="s">
        <v>1127</v>
      </c>
      <c r="D16" t="s">
        <v>441</v>
      </c>
      <c r="E16" t="s">
        <v>31</v>
      </c>
      <c r="F16" t="s">
        <v>1165</v>
      </c>
      <c r="G16">
        <v>8</v>
      </c>
      <c r="H16">
        <v>57</v>
      </c>
      <c r="I16">
        <v>2</v>
      </c>
      <c r="J16">
        <v>0.4</v>
      </c>
      <c r="K16">
        <v>11.3</v>
      </c>
      <c r="L16">
        <v>8.3000000000000007</v>
      </c>
      <c r="M16">
        <v>0.9</v>
      </c>
      <c r="O16">
        <v>21</v>
      </c>
      <c r="P16">
        <v>7.0000000000000007E-2</v>
      </c>
      <c r="Q16">
        <v>0.06</v>
      </c>
      <c r="R16">
        <v>0.7</v>
      </c>
      <c r="S16">
        <v>9</v>
      </c>
      <c r="T16">
        <v>45</v>
      </c>
      <c r="U16">
        <v>0.04</v>
      </c>
      <c r="V16">
        <v>0.5</v>
      </c>
      <c r="W16">
        <v>29</v>
      </c>
      <c r="X16">
        <v>246.5</v>
      </c>
      <c r="Y16">
        <v>1.1000000000000001</v>
      </c>
      <c r="Z16">
        <v>0.1</v>
      </c>
      <c r="AA16">
        <v>80</v>
      </c>
      <c r="AB16" t="s">
        <v>1166</v>
      </c>
    </row>
    <row r="17" spans="1:28" x14ac:dyDescent="0.2">
      <c r="A17">
        <v>88</v>
      </c>
      <c r="B17" t="s">
        <v>197</v>
      </c>
      <c r="C17" t="s">
        <v>1127</v>
      </c>
      <c r="D17" t="s">
        <v>1167</v>
      </c>
      <c r="E17" t="s">
        <v>31</v>
      </c>
      <c r="F17" t="s">
        <v>1168</v>
      </c>
      <c r="G17">
        <v>4</v>
      </c>
      <c r="H17">
        <v>525</v>
      </c>
      <c r="I17">
        <v>27.9</v>
      </c>
      <c r="J17">
        <v>42.7</v>
      </c>
      <c r="K17">
        <v>17.399999999999999</v>
      </c>
      <c r="L17">
        <v>2.4</v>
      </c>
      <c r="M17">
        <v>2.4</v>
      </c>
      <c r="O17">
        <v>0</v>
      </c>
      <c r="P17">
        <v>0.44</v>
      </c>
      <c r="Q17">
        <v>0.27</v>
      </c>
      <c r="R17">
        <v>1.4</v>
      </c>
      <c r="T17">
        <v>316</v>
      </c>
      <c r="U17">
        <v>1.55</v>
      </c>
      <c r="V17">
        <v>5.7</v>
      </c>
      <c r="W17">
        <v>456</v>
      </c>
      <c r="X17">
        <v>466.5</v>
      </c>
      <c r="Y17">
        <v>31</v>
      </c>
      <c r="Z17">
        <v>1.9</v>
      </c>
      <c r="AA17">
        <v>100</v>
      </c>
      <c r="AB17" t="s">
        <v>1169</v>
      </c>
    </row>
    <row r="18" spans="1:28" x14ac:dyDescent="0.2">
      <c r="A18">
        <v>88</v>
      </c>
      <c r="B18" t="s">
        <v>197</v>
      </c>
      <c r="C18" t="s">
        <v>1127</v>
      </c>
      <c r="D18" t="s">
        <v>1170</v>
      </c>
      <c r="E18" t="s">
        <v>31</v>
      </c>
      <c r="F18" t="s">
        <v>1171</v>
      </c>
      <c r="G18">
        <v>5</v>
      </c>
      <c r="H18">
        <v>324</v>
      </c>
      <c r="I18">
        <v>4.2</v>
      </c>
      <c r="J18">
        <v>34.299999999999997</v>
      </c>
      <c r="K18">
        <v>5.6</v>
      </c>
      <c r="L18">
        <v>0</v>
      </c>
      <c r="M18">
        <v>1</v>
      </c>
      <c r="N18">
        <v>0</v>
      </c>
      <c r="O18">
        <v>0</v>
      </c>
      <c r="P18">
        <v>0.02</v>
      </c>
      <c r="Q18">
        <v>0</v>
      </c>
      <c r="R18">
        <v>0.5</v>
      </c>
      <c r="S18">
        <v>2</v>
      </c>
      <c r="T18">
        <v>14</v>
      </c>
      <c r="U18">
        <v>0.37</v>
      </c>
      <c r="V18">
        <v>1.9</v>
      </c>
      <c r="W18">
        <v>45</v>
      </c>
      <c r="X18">
        <v>514.1</v>
      </c>
      <c r="Y18">
        <v>18</v>
      </c>
      <c r="Z18">
        <v>0.9</v>
      </c>
      <c r="AA18">
        <v>100</v>
      </c>
      <c r="AB18" t="s">
        <v>1172</v>
      </c>
    </row>
    <row r="19" spans="1:28" x14ac:dyDescent="0.2">
      <c r="A19">
        <v>88</v>
      </c>
      <c r="B19" t="s">
        <v>197</v>
      </c>
      <c r="C19" t="s">
        <v>1127</v>
      </c>
      <c r="D19" t="s">
        <v>449</v>
      </c>
      <c r="E19" t="s">
        <v>31</v>
      </c>
      <c r="F19" t="s">
        <v>1173</v>
      </c>
      <c r="G19">
        <v>3</v>
      </c>
      <c r="H19">
        <v>46</v>
      </c>
      <c r="I19">
        <v>1.5</v>
      </c>
      <c r="J19">
        <v>0.3</v>
      </c>
      <c r="K19">
        <v>9.1999999999999993</v>
      </c>
      <c r="L19">
        <v>1.7</v>
      </c>
      <c r="M19">
        <v>1</v>
      </c>
      <c r="O19">
        <v>2</v>
      </c>
      <c r="P19">
        <v>0.03</v>
      </c>
      <c r="Q19">
        <v>0.04</v>
      </c>
      <c r="R19">
        <v>0.2</v>
      </c>
      <c r="S19">
        <v>2</v>
      </c>
      <c r="T19">
        <v>36</v>
      </c>
      <c r="U19">
        <v>0.06</v>
      </c>
      <c r="V19">
        <v>0.8</v>
      </c>
      <c r="W19">
        <v>40</v>
      </c>
      <c r="X19">
        <v>178.6</v>
      </c>
      <c r="Y19">
        <v>7</v>
      </c>
      <c r="Z19">
        <v>0.2</v>
      </c>
      <c r="AA19">
        <v>90</v>
      </c>
      <c r="AB19" t="s">
        <v>1174</v>
      </c>
    </row>
    <row r="20" spans="1:28" x14ac:dyDescent="0.2">
      <c r="A20">
        <v>88</v>
      </c>
      <c r="B20" t="s">
        <v>197</v>
      </c>
      <c r="C20" t="s">
        <v>1127</v>
      </c>
      <c r="D20" t="s">
        <v>450</v>
      </c>
      <c r="E20" t="s">
        <v>31</v>
      </c>
      <c r="F20" t="s">
        <v>1175</v>
      </c>
      <c r="G20">
        <v>2</v>
      </c>
      <c r="H20">
        <v>112</v>
      </c>
      <c r="I20">
        <v>4.5</v>
      </c>
      <c r="J20">
        <v>0.2</v>
      </c>
      <c r="K20">
        <v>23.1</v>
      </c>
      <c r="L20">
        <v>0.6</v>
      </c>
      <c r="M20">
        <v>1.8</v>
      </c>
      <c r="O20">
        <v>0</v>
      </c>
      <c r="P20">
        <v>0.22</v>
      </c>
      <c r="Q20">
        <v>7.0000000000000007E-2</v>
      </c>
      <c r="R20">
        <v>0.3</v>
      </c>
      <c r="S20">
        <v>15</v>
      </c>
      <c r="T20">
        <v>42</v>
      </c>
      <c r="U20">
        <v>0.09</v>
      </c>
      <c r="V20">
        <v>1</v>
      </c>
      <c r="W20">
        <v>134</v>
      </c>
      <c r="X20">
        <v>665.7</v>
      </c>
      <c r="Y20">
        <v>46</v>
      </c>
      <c r="Z20">
        <v>0.4</v>
      </c>
      <c r="AA20">
        <v>88</v>
      </c>
      <c r="AB20" t="s">
        <v>1176</v>
      </c>
    </row>
    <row r="21" spans="1:28" x14ac:dyDescent="0.2">
      <c r="A21">
        <v>88</v>
      </c>
      <c r="B21" t="s">
        <v>197</v>
      </c>
      <c r="C21" t="s">
        <v>1127</v>
      </c>
      <c r="D21" t="s">
        <v>1177</v>
      </c>
      <c r="E21" t="s">
        <v>31</v>
      </c>
      <c r="F21" t="s">
        <v>1178</v>
      </c>
      <c r="G21">
        <v>2</v>
      </c>
      <c r="H21">
        <v>267</v>
      </c>
      <c r="I21">
        <v>2.8</v>
      </c>
      <c r="J21">
        <v>0.6</v>
      </c>
      <c r="K21">
        <v>62.5</v>
      </c>
      <c r="L21">
        <v>1.2</v>
      </c>
      <c r="M21">
        <v>2.7</v>
      </c>
      <c r="O21">
        <v>9</v>
      </c>
      <c r="P21">
        <v>0.34</v>
      </c>
      <c r="Q21">
        <v>0.04</v>
      </c>
      <c r="R21">
        <v>0.7</v>
      </c>
      <c r="S21">
        <v>2</v>
      </c>
      <c r="T21">
        <v>74</v>
      </c>
      <c r="U21">
        <v>0.09</v>
      </c>
      <c r="V21">
        <v>0.6</v>
      </c>
      <c r="W21">
        <v>113</v>
      </c>
      <c r="X21">
        <v>139.5</v>
      </c>
      <c r="Y21">
        <v>9</v>
      </c>
      <c r="Z21">
        <v>0.1</v>
      </c>
      <c r="AA21">
        <v>48</v>
      </c>
      <c r="AB21" t="s">
        <v>1179</v>
      </c>
    </row>
    <row r="22" spans="1:28" x14ac:dyDescent="0.2">
      <c r="A22">
        <v>88</v>
      </c>
      <c r="B22" t="s">
        <v>197</v>
      </c>
      <c r="C22" t="s">
        <v>1127</v>
      </c>
      <c r="D22" t="s">
        <v>451</v>
      </c>
      <c r="E22" t="s">
        <v>31</v>
      </c>
      <c r="F22" t="s">
        <v>1180</v>
      </c>
      <c r="G22">
        <v>2</v>
      </c>
      <c r="H22">
        <v>36</v>
      </c>
      <c r="I22">
        <v>1</v>
      </c>
      <c r="J22">
        <v>0.3</v>
      </c>
      <c r="K22">
        <v>7.3</v>
      </c>
      <c r="L22">
        <v>1.4</v>
      </c>
      <c r="M22">
        <v>0.5</v>
      </c>
      <c r="O22">
        <v>5833</v>
      </c>
      <c r="P22">
        <v>0.05</v>
      </c>
      <c r="Q22">
        <v>0.09</v>
      </c>
      <c r="R22">
        <v>3</v>
      </c>
      <c r="S22">
        <v>18</v>
      </c>
      <c r="T22">
        <v>29</v>
      </c>
      <c r="U22">
        <v>0.12</v>
      </c>
      <c r="V22">
        <v>0.5</v>
      </c>
      <c r="W22">
        <v>24</v>
      </c>
      <c r="X22">
        <v>272.39999999999998</v>
      </c>
      <c r="Y22">
        <v>23</v>
      </c>
      <c r="Z22">
        <v>0.2</v>
      </c>
      <c r="AA22">
        <v>85</v>
      </c>
      <c r="AB22" t="s">
        <v>1181</v>
      </c>
    </row>
    <row r="23" spans="1:28" x14ac:dyDescent="0.2">
      <c r="A23">
        <v>88</v>
      </c>
      <c r="B23" t="s">
        <v>197</v>
      </c>
      <c r="C23" t="s">
        <v>1127</v>
      </c>
      <c r="D23" t="s">
        <v>509</v>
      </c>
      <c r="E23" t="s">
        <v>31</v>
      </c>
      <c r="F23" t="s">
        <v>287</v>
      </c>
      <c r="G23">
        <v>1</v>
      </c>
      <c r="H23">
        <v>675</v>
      </c>
      <c r="I23">
        <v>19</v>
      </c>
      <c r="J23">
        <v>63</v>
      </c>
      <c r="K23">
        <v>8</v>
      </c>
      <c r="L23">
        <v>3</v>
      </c>
      <c r="M23">
        <v>3</v>
      </c>
      <c r="O23">
        <v>0</v>
      </c>
      <c r="P23">
        <v>0.06</v>
      </c>
      <c r="Q23">
        <v>0.06</v>
      </c>
      <c r="R23">
        <v>0.4</v>
      </c>
      <c r="S23">
        <v>0</v>
      </c>
      <c r="T23">
        <v>80</v>
      </c>
      <c r="U23">
        <v>0.23</v>
      </c>
      <c r="V23">
        <v>2</v>
      </c>
      <c r="W23">
        <v>200</v>
      </c>
      <c r="X23">
        <v>430.7</v>
      </c>
      <c r="Y23">
        <v>25</v>
      </c>
      <c r="Z23">
        <v>0.8</v>
      </c>
      <c r="AA23">
        <v>100</v>
      </c>
      <c r="AB23" t="s">
        <v>1182</v>
      </c>
    </row>
    <row r="24" spans="1:28" x14ac:dyDescent="0.2">
      <c r="A24">
        <v>88</v>
      </c>
      <c r="B24" t="s">
        <v>197</v>
      </c>
      <c r="C24" t="s">
        <v>1127</v>
      </c>
      <c r="D24" t="s">
        <v>1183</v>
      </c>
      <c r="E24" t="s">
        <v>31</v>
      </c>
      <c r="F24" t="s">
        <v>1184</v>
      </c>
      <c r="G24">
        <v>1</v>
      </c>
      <c r="H24">
        <v>26</v>
      </c>
      <c r="I24">
        <v>1</v>
      </c>
      <c r="J24">
        <v>0.3</v>
      </c>
      <c r="K24">
        <v>4.7</v>
      </c>
      <c r="L24">
        <v>1.1000000000000001</v>
      </c>
      <c r="M24">
        <v>1</v>
      </c>
      <c r="O24">
        <v>5</v>
      </c>
      <c r="P24">
        <v>0.08</v>
      </c>
      <c r="Q24">
        <v>0.06</v>
      </c>
      <c r="R24">
        <v>0.3</v>
      </c>
      <c r="S24">
        <v>50</v>
      </c>
      <c r="T24">
        <v>50</v>
      </c>
      <c r="U24">
        <v>7.0000000000000007E-2</v>
      </c>
      <c r="V24">
        <v>2</v>
      </c>
      <c r="W24">
        <v>50</v>
      </c>
      <c r="X24">
        <v>137.1</v>
      </c>
      <c r="Y24">
        <v>24</v>
      </c>
      <c r="Z24">
        <v>0.3</v>
      </c>
      <c r="AA24">
        <v>80</v>
      </c>
      <c r="AB24" t="s">
        <v>1185</v>
      </c>
    </row>
    <row r="25" spans="1:28" x14ac:dyDescent="0.2">
      <c r="A25">
        <v>88</v>
      </c>
      <c r="B25" t="s">
        <v>197</v>
      </c>
      <c r="C25" t="s">
        <v>1127</v>
      </c>
      <c r="D25" t="s">
        <v>510</v>
      </c>
      <c r="E25" t="s">
        <v>31</v>
      </c>
      <c r="F25" t="s">
        <v>1186</v>
      </c>
      <c r="G25">
        <v>1</v>
      </c>
      <c r="H25">
        <v>418</v>
      </c>
      <c r="I25">
        <v>14.1</v>
      </c>
      <c r="J25">
        <v>16.100000000000001</v>
      </c>
      <c r="K25">
        <v>54.2</v>
      </c>
      <c r="L25">
        <v>12.3</v>
      </c>
      <c r="M25">
        <v>4.4000000000000004</v>
      </c>
      <c r="O25">
        <v>75</v>
      </c>
      <c r="P25">
        <v>0.2</v>
      </c>
      <c r="Q25">
        <v>0.35</v>
      </c>
      <c r="R25">
        <v>1.8</v>
      </c>
      <c r="S25">
        <v>0</v>
      </c>
      <c r="T25">
        <v>630</v>
      </c>
      <c r="U25">
        <v>0.95</v>
      </c>
      <c r="V25">
        <v>17.899999999999999</v>
      </c>
      <c r="W25">
        <v>370</v>
      </c>
      <c r="X25">
        <v>1787</v>
      </c>
      <c r="Y25">
        <v>91</v>
      </c>
      <c r="Z25">
        <v>4.5999999999999996</v>
      </c>
      <c r="AA25">
        <v>100</v>
      </c>
      <c r="AB25" t="s">
        <v>1187</v>
      </c>
    </row>
    <row r="26" spans="1:28" x14ac:dyDescent="0.2">
      <c r="A26">
        <v>88</v>
      </c>
      <c r="B26" t="s">
        <v>197</v>
      </c>
      <c r="C26" t="s">
        <v>1127</v>
      </c>
      <c r="D26" t="s">
        <v>1188</v>
      </c>
      <c r="E26" t="s">
        <v>31</v>
      </c>
      <c r="F26" t="s">
        <v>1189</v>
      </c>
      <c r="G26">
        <v>1</v>
      </c>
      <c r="H26">
        <v>301</v>
      </c>
      <c r="I26">
        <v>14.2</v>
      </c>
      <c r="J26">
        <v>10.9</v>
      </c>
      <c r="K26">
        <v>49</v>
      </c>
      <c r="L26">
        <v>9.4</v>
      </c>
      <c r="M26">
        <v>12.8</v>
      </c>
      <c r="N26">
        <v>0</v>
      </c>
      <c r="O26">
        <v>5400</v>
      </c>
      <c r="P26">
        <v>0.1</v>
      </c>
      <c r="Q26">
        <v>0.32</v>
      </c>
      <c r="R26">
        <v>5</v>
      </c>
      <c r="S26">
        <v>0</v>
      </c>
      <c r="T26">
        <v>86</v>
      </c>
      <c r="U26">
        <v>1.31</v>
      </c>
      <c r="V26">
        <v>44.1</v>
      </c>
      <c r="W26">
        <v>250</v>
      </c>
      <c r="X26">
        <v>619</v>
      </c>
      <c r="Y26">
        <v>180</v>
      </c>
      <c r="Z26">
        <v>0.7</v>
      </c>
      <c r="AA26">
        <v>100</v>
      </c>
      <c r="AB26" t="s">
        <v>1190</v>
      </c>
    </row>
    <row r="27" spans="1:28" x14ac:dyDescent="0.2">
      <c r="A27" s="5">
        <v>88</v>
      </c>
      <c r="B27" s="5" t="s">
        <v>197</v>
      </c>
      <c r="C27" s="5" t="s">
        <v>1127</v>
      </c>
      <c r="D27" s="5"/>
      <c r="E27" s="5" t="s">
        <v>1151</v>
      </c>
      <c r="F27" s="5" t="s">
        <v>1152</v>
      </c>
      <c r="G27" s="5">
        <f>SUM(G12:G26)</f>
        <v>100</v>
      </c>
      <c r="H27" s="5">
        <f t="shared" ref="H27:AA27" si="1">SUMPRODUCT($G$12:$G$26/100,H12:H26)</f>
        <v>87.440000000000012</v>
      </c>
      <c r="I27" s="5">
        <f t="shared" si="1"/>
        <v>3.3149999999999991</v>
      </c>
      <c r="J27" s="5">
        <f t="shared" si="1"/>
        <v>4.4689999999999994</v>
      </c>
      <c r="K27" s="5">
        <f t="shared" si="1"/>
        <v>9.4980000000000011</v>
      </c>
      <c r="L27" s="5">
        <f t="shared" si="1"/>
        <v>3.5430000000000006</v>
      </c>
      <c r="M27" s="5">
        <f t="shared" si="1"/>
        <v>0.91500000000000026</v>
      </c>
      <c r="N27" s="5">
        <f t="shared" si="1"/>
        <v>0</v>
      </c>
      <c r="O27" s="5">
        <f t="shared" si="1"/>
        <v>222.28000000000003</v>
      </c>
      <c r="P27" s="5">
        <f t="shared" si="1"/>
        <v>0.23669999999999999</v>
      </c>
      <c r="Q27" s="5">
        <f t="shared" si="1"/>
        <v>8.0700000000000008E-2</v>
      </c>
      <c r="R27" s="5">
        <f t="shared" si="1"/>
        <v>0.67800000000000005</v>
      </c>
      <c r="S27" s="5">
        <f t="shared" si="1"/>
        <v>18.88</v>
      </c>
      <c r="T27" s="5">
        <f t="shared" si="1"/>
        <v>49.73</v>
      </c>
      <c r="U27" s="5">
        <f t="shared" si="1"/>
        <v>0.19910000000000003</v>
      </c>
      <c r="V27" s="5">
        <f t="shared" si="1"/>
        <v>1.4540000000000002</v>
      </c>
      <c r="W27" s="5">
        <f t="shared" si="1"/>
        <v>77.830000000000027</v>
      </c>
      <c r="X27" s="5">
        <f t="shared" si="1"/>
        <v>260.63299999999998</v>
      </c>
      <c r="Y27" s="5">
        <f t="shared" si="1"/>
        <v>69.077999999999989</v>
      </c>
      <c r="Z27" s="5">
        <f t="shared" si="1"/>
        <v>0.66800000000000015</v>
      </c>
      <c r="AA27" s="5">
        <f t="shared" si="1"/>
        <v>90.92</v>
      </c>
      <c r="AB27" s="6" t="s">
        <v>1153</v>
      </c>
    </row>
    <row r="28" spans="1:28" x14ac:dyDescent="0.2">
      <c r="A28">
        <v>142</v>
      </c>
      <c r="B28" t="s">
        <v>302</v>
      </c>
      <c r="C28" t="s">
        <v>1127</v>
      </c>
      <c r="D28" t="s">
        <v>451</v>
      </c>
      <c r="E28" t="s">
        <v>31</v>
      </c>
      <c r="F28" t="s">
        <v>1180</v>
      </c>
      <c r="G28">
        <v>51</v>
      </c>
      <c r="H28">
        <v>36</v>
      </c>
      <c r="I28">
        <v>1</v>
      </c>
      <c r="J28">
        <v>0.3</v>
      </c>
      <c r="K28">
        <v>7.3</v>
      </c>
      <c r="L28">
        <v>1.4</v>
      </c>
      <c r="M28">
        <v>0.5</v>
      </c>
      <c r="O28">
        <v>5833</v>
      </c>
      <c r="P28">
        <v>0.05</v>
      </c>
      <c r="Q28">
        <v>0.09</v>
      </c>
      <c r="R28">
        <v>3</v>
      </c>
      <c r="S28">
        <v>18</v>
      </c>
      <c r="T28">
        <v>29</v>
      </c>
      <c r="U28">
        <v>0.12</v>
      </c>
      <c r="V28">
        <v>0.5</v>
      </c>
      <c r="W28">
        <v>24</v>
      </c>
      <c r="X28">
        <v>272.39999999999998</v>
      </c>
      <c r="Y28">
        <v>23</v>
      </c>
      <c r="Z28">
        <v>0.2</v>
      </c>
      <c r="AA28">
        <v>85</v>
      </c>
      <c r="AB28" t="s">
        <v>1191</v>
      </c>
    </row>
    <row r="29" spans="1:28" x14ac:dyDescent="0.2">
      <c r="A29">
        <v>142</v>
      </c>
      <c r="B29" t="s">
        <v>302</v>
      </c>
      <c r="C29" t="s">
        <v>1127</v>
      </c>
      <c r="D29" t="s">
        <v>1192</v>
      </c>
      <c r="E29" t="s">
        <v>31</v>
      </c>
      <c r="F29" t="s">
        <v>1193</v>
      </c>
      <c r="G29">
        <v>18</v>
      </c>
      <c r="H29">
        <v>24</v>
      </c>
      <c r="I29">
        <v>1.3</v>
      </c>
      <c r="J29">
        <v>0.5</v>
      </c>
      <c r="K29">
        <v>4.7</v>
      </c>
      <c r="L29">
        <v>1.5</v>
      </c>
      <c r="M29">
        <v>0.6</v>
      </c>
      <c r="O29">
        <v>575</v>
      </c>
      <c r="P29">
        <v>0.06</v>
      </c>
      <c r="Q29">
        <v>7.0000000000000007E-2</v>
      </c>
      <c r="R29">
        <v>0.4</v>
      </c>
      <c r="S29">
        <v>34</v>
      </c>
      <c r="T29">
        <v>8</v>
      </c>
      <c r="U29">
        <v>0.14000000000000001</v>
      </c>
      <c r="V29">
        <v>0.6</v>
      </c>
      <c r="W29">
        <v>77</v>
      </c>
      <c r="X29">
        <v>164.9</v>
      </c>
      <c r="Y29">
        <v>9.8000000000000007</v>
      </c>
      <c r="Z29">
        <v>0.2</v>
      </c>
      <c r="AA29">
        <v>100</v>
      </c>
      <c r="AB29" t="s">
        <v>1194</v>
      </c>
    </row>
    <row r="30" spans="1:28" x14ac:dyDescent="0.2">
      <c r="A30">
        <v>142</v>
      </c>
      <c r="B30" t="s">
        <v>302</v>
      </c>
      <c r="C30" t="s">
        <v>1127</v>
      </c>
      <c r="D30" t="s">
        <v>1097</v>
      </c>
      <c r="E30" t="s">
        <v>31</v>
      </c>
      <c r="F30" t="s">
        <v>1195</v>
      </c>
      <c r="G30">
        <v>11</v>
      </c>
      <c r="H30">
        <v>394</v>
      </c>
      <c r="I30">
        <v>0</v>
      </c>
      <c r="J30">
        <v>0</v>
      </c>
      <c r="K30">
        <v>94</v>
      </c>
      <c r="L30">
        <v>0</v>
      </c>
      <c r="M30">
        <v>0.6</v>
      </c>
      <c r="N30">
        <v>0</v>
      </c>
      <c r="O30">
        <v>0</v>
      </c>
      <c r="P30">
        <v>0</v>
      </c>
      <c r="Q30">
        <v>0</v>
      </c>
      <c r="R30">
        <v>0</v>
      </c>
      <c r="S30">
        <v>0</v>
      </c>
      <c r="T30">
        <v>5</v>
      </c>
      <c r="U30">
        <v>0</v>
      </c>
      <c r="V30">
        <v>0.1</v>
      </c>
      <c r="W30">
        <v>1</v>
      </c>
      <c r="X30">
        <v>4.75</v>
      </c>
      <c r="Y30">
        <v>1</v>
      </c>
      <c r="Z30">
        <v>0</v>
      </c>
      <c r="AA30">
        <v>100</v>
      </c>
      <c r="AB30" t="s">
        <v>1196</v>
      </c>
    </row>
    <row r="31" spans="1:28" x14ac:dyDescent="0.2">
      <c r="A31">
        <v>142</v>
      </c>
      <c r="B31" t="s">
        <v>302</v>
      </c>
      <c r="C31" t="s">
        <v>1127</v>
      </c>
      <c r="D31" t="s">
        <v>476</v>
      </c>
      <c r="E31" t="s">
        <v>31</v>
      </c>
      <c r="F31" t="s">
        <v>1197</v>
      </c>
      <c r="G31">
        <v>6</v>
      </c>
      <c r="H31">
        <v>884</v>
      </c>
      <c r="I31">
        <v>0</v>
      </c>
      <c r="J31">
        <v>100</v>
      </c>
      <c r="K31">
        <v>0</v>
      </c>
      <c r="L31">
        <v>0</v>
      </c>
      <c r="M31">
        <v>0</v>
      </c>
      <c r="O31">
        <v>18181</v>
      </c>
      <c r="P31">
        <v>0</v>
      </c>
      <c r="Q31">
        <v>0</v>
      </c>
      <c r="R31">
        <v>0</v>
      </c>
      <c r="S31">
        <v>0</v>
      </c>
      <c r="T31">
        <v>0</v>
      </c>
      <c r="U31">
        <v>0</v>
      </c>
      <c r="V31">
        <v>0</v>
      </c>
      <c r="W31">
        <v>0</v>
      </c>
      <c r="X31">
        <v>0</v>
      </c>
      <c r="Y31">
        <v>0</v>
      </c>
      <c r="Z31">
        <v>0</v>
      </c>
      <c r="AA31">
        <v>100</v>
      </c>
      <c r="AB31" t="s">
        <v>1198</v>
      </c>
    </row>
    <row r="32" spans="1:28" x14ac:dyDescent="0.2">
      <c r="A32">
        <v>142</v>
      </c>
      <c r="B32" t="s">
        <v>302</v>
      </c>
      <c r="C32" t="s">
        <v>1127</v>
      </c>
      <c r="D32" t="s">
        <v>450</v>
      </c>
      <c r="E32" t="s">
        <v>31</v>
      </c>
      <c r="F32" t="s">
        <v>1175</v>
      </c>
      <c r="G32">
        <v>5</v>
      </c>
      <c r="H32">
        <v>112</v>
      </c>
      <c r="I32">
        <v>4.5</v>
      </c>
      <c r="J32">
        <v>0.2</v>
      </c>
      <c r="K32">
        <v>23.1</v>
      </c>
      <c r="L32">
        <v>0.6</v>
      </c>
      <c r="M32">
        <v>1.8</v>
      </c>
      <c r="O32">
        <v>0</v>
      </c>
      <c r="P32">
        <v>0.22</v>
      </c>
      <c r="Q32">
        <v>7.0000000000000007E-2</v>
      </c>
      <c r="R32">
        <v>0.3</v>
      </c>
      <c r="S32">
        <v>15</v>
      </c>
      <c r="T32">
        <v>42</v>
      </c>
      <c r="U32">
        <v>0.09</v>
      </c>
      <c r="V32">
        <v>1</v>
      </c>
      <c r="W32">
        <v>134</v>
      </c>
      <c r="X32">
        <v>665.7</v>
      </c>
      <c r="Y32">
        <v>46</v>
      </c>
      <c r="Z32">
        <v>0.4</v>
      </c>
      <c r="AA32">
        <v>88</v>
      </c>
      <c r="AB32" t="s">
        <v>1199</v>
      </c>
    </row>
    <row r="33" spans="1:28" x14ac:dyDescent="0.2">
      <c r="A33">
        <v>142</v>
      </c>
      <c r="B33" t="s">
        <v>302</v>
      </c>
      <c r="C33" t="s">
        <v>1127</v>
      </c>
      <c r="D33" t="s">
        <v>449</v>
      </c>
      <c r="E33" t="s">
        <v>31</v>
      </c>
      <c r="F33" t="s">
        <v>1173</v>
      </c>
      <c r="G33">
        <v>6</v>
      </c>
      <c r="H33">
        <v>46</v>
      </c>
      <c r="I33">
        <v>1.5</v>
      </c>
      <c r="J33">
        <v>0.3</v>
      </c>
      <c r="K33">
        <v>9.1999999999999993</v>
      </c>
      <c r="L33">
        <v>1.7</v>
      </c>
      <c r="M33">
        <v>1</v>
      </c>
      <c r="O33">
        <v>2</v>
      </c>
      <c r="P33">
        <v>0.03</v>
      </c>
      <c r="Q33">
        <v>0.04</v>
      </c>
      <c r="R33">
        <v>0.2</v>
      </c>
      <c r="S33">
        <v>2</v>
      </c>
      <c r="T33">
        <v>36</v>
      </c>
      <c r="U33">
        <v>0.06</v>
      </c>
      <c r="V33">
        <v>0.8</v>
      </c>
      <c r="W33">
        <v>40</v>
      </c>
      <c r="X33">
        <v>178.6</v>
      </c>
      <c r="Y33">
        <v>7</v>
      </c>
      <c r="Z33">
        <v>0.2</v>
      </c>
      <c r="AA33">
        <v>90</v>
      </c>
      <c r="AB33" t="s">
        <v>1200</v>
      </c>
    </row>
    <row r="34" spans="1:28" x14ac:dyDescent="0.2">
      <c r="A34">
        <v>142</v>
      </c>
      <c r="B34" t="s">
        <v>302</v>
      </c>
      <c r="C34" t="s">
        <v>1127</v>
      </c>
      <c r="D34" t="s">
        <v>1201</v>
      </c>
      <c r="E34" t="s">
        <v>285</v>
      </c>
      <c r="F34" t="s">
        <v>1202</v>
      </c>
      <c r="G34">
        <v>3</v>
      </c>
      <c r="H34">
        <v>0</v>
      </c>
      <c r="I34">
        <v>0</v>
      </c>
      <c r="J34">
        <v>0</v>
      </c>
      <c r="K34">
        <v>0</v>
      </c>
      <c r="L34">
        <v>0</v>
      </c>
      <c r="M34">
        <v>99</v>
      </c>
      <c r="N34">
        <v>0</v>
      </c>
      <c r="O34">
        <v>0</v>
      </c>
      <c r="P34">
        <v>0</v>
      </c>
      <c r="Q34">
        <v>0</v>
      </c>
      <c r="R34">
        <v>0</v>
      </c>
      <c r="S34">
        <v>0</v>
      </c>
      <c r="T34">
        <v>50</v>
      </c>
      <c r="U34">
        <v>0</v>
      </c>
      <c r="V34">
        <v>0</v>
      </c>
      <c r="W34">
        <v>0</v>
      </c>
      <c r="X34">
        <v>2</v>
      </c>
      <c r="Y34">
        <v>38700</v>
      </c>
      <c r="Z34">
        <v>0</v>
      </c>
      <c r="AA34">
        <v>100</v>
      </c>
      <c r="AB34" t="s">
        <v>1203</v>
      </c>
    </row>
    <row r="35" spans="1:28" x14ac:dyDescent="0.2">
      <c r="A35" s="5">
        <v>142</v>
      </c>
      <c r="B35" s="5" t="s">
        <v>302</v>
      </c>
      <c r="C35" s="5" t="s">
        <v>1127</v>
      </c>
      <c r="D35" s="5"/>
      <c r="E35" s="5" t="s">
        <v>1151</v>
      </c>
      <c r="F35" s="5" t="s">
        <v>1152</v>
      </c>
      <c r="G35" s="5">
        <f>SUM(G28:G34)</f>
        <v>100</v>
      </c>
      <c r="H35" s="5">
        <f t="shared" ref="H35:AA35" si="2">SUMPRODUCT($G$28:$G$34/100,H28:H34)</f>
        <v>127.42</v>
      </c>
      <c r="I35" s="5">
        <f t="shared" si="2"/>
        <v>1.0589999999999999</v>
      </c>
      <c r="J35" s="5">
        <f t="shared" si="2"/>
        <v>6.2709999999999999</v>
      </c>
      <c r="K35" s="5">
        <f t="shared" si="2"/>
        <v>16.616</v>
      </c>
      <c r="L35" s="5">
        <f t="shared" si="2"/>
        <v>1.1160000000000001</v>
      </c>
      <c r="M35" s="5">
        <f t="shared" si="2"/>
        <v>3.5489999999999995</v>
      </c>
      <c r="N35" s="5">
        <f t="shared" si="2"/>
        <v>0</v>
      </c>
      <c r="O35" s="5">
        <f t="shared" si="2"/>
        <v>4169.3099999999995</v>
      </c>
      <c r="P35" s="5">
        <f t="shared" si="2"/>
        <v>4.9100000000000005E-2</v>
      </c>
      <c r="Q35" s="5">
        <f t="shared" si="2"/>
        <v>6.4399999999999999E-2</v>
      </c>
      <c r="R35" s="5">
        <f t="shared" si="2"/>
        <v>1.629</v>
      </c>
      <c r="S35" s="5">
        <f t="shared" si="2"/>
        <v>16.170000000000002</v>
      </c>
      <c r="T35" s="5">
        <f t="shared" si="2"/>
        <v>22.540000000000003</v>
      </c>
      <c r="U35" s="5">
        <f t="shared" si="2"/>
        <v>9.4500000000000015E-2</v>
      </c>
      <c r="V35" s="5">
        <f t="shared" si="2"/>
        <v>0.47199999999999998</v>
      </c>
      <c r="W35" s="5">
        <f t="shared" si="2"/>
        <v>35.31</v>
      </c>
      <c r="X35" s="5">
        <f t="shared" si="2"/>
        <v>213.18949999999998</v>
      </c>
      <c r="Y35" s="5">
        <f t="shared" si="2"/>
        <v>1177.3240000000001</v>
      </c>
      <c r="Z35" s="5">
        <f t="shared" si="2"/>
        <v>0.17000000000000004</v>
      </c>
      <c r="AA35" s="5">
        <f t="shared" si="2"/>
        <v>91.15</v>
      </c>
      <c r="AB35" s="6" t="s">
        <v>1204</v>
      </c>
    </row>
    <row r="36" spans="1:28" x14ac:dyDescent="0.2">
      <c r="A36">
        <v>144</v>
      </c>
      <c r="B36" t="s">
        <v>307</v>
      </c>
      <c r="C36" t="s">
        <v>1127</v>
      </c>
      <c r="D36" t="s">
        <v>449</v>
      </c>
      <c r="E36" t="s">
        <v>31</v>
      </c>
      <c r="F36" t="s">
        <v>1173</v>
      </c>
      <c r="G36">
        <v>30</v>
      </c>
      <c r="H36">
        <v>46</v>
      </c>
      <c r="I36">
        <v>1.5</v>
      </c>
      <c r="J36">
        <v>0.3</v>
      </c>
      <c r="K36">
        <v>9.1999999999999993</v>
      </c>
      <c r="L36">
        <v>1.7</v>
      </c>
      <c r="M36">
        <v>1</v>
      </c>
      <c r="O36">
        <v>2</v>
      </c>
      <c r="P36">
        <v>0.03</v>
      </c>
      <c r="Q36">
        <v>0.04</v>
      </c>
      <c r="R36">
        <v>0.2</v>
      </c>
      <c r="S36">
        <v>2</v>
      </c>
      <c r="T36">
        <v>36</v>
      </c>
      <c r="U36">
        <v>0.06</v>
      </c>
      <c r="V36">
        <v>0.8</v>
      </c>
      <c r="W36">
        <v>40</v>
      </c>
      <c r="X36">
        <v>178.6</v>
      </c>
      <c r="Y36">
        <v>7</v>
      </c>
      <c r="Z36">
        <v>0.2</v>
      </c>
      <c r="AA36">
        <v>90</v>
      </c>
      <c r="AB36" t="s">
        <v>1205</v>
      </c>
    </row>
    <row r="37" spans="1:28" x14ac:dyDescent="0.2">
      <c r="A37">
        <v>144</v>
      </c>
      <c r="B37" t="s">
        <v>307</v>
      </c>
      <c r="C37" t="s">
        <v>1127</v>
      </c>
      <c r="D37" t="s">
        <v>450</v>
      </c>
      <c r="E37" t="s">
        <v>31</v>
      </c>
      <c r="F37" t="s">
        <v>1175</v>
      </c>
      <c r="G37">
        <v>15</v>
      </c>
      <c r="H37">
        <v>112</v>
      </c>
      <c r="I37">
        <v>4.5</v>
      </c>
      <c r="J37">
        <v>0.2</v>
      </c>
      <c r="K37">
        <v>23.1</v>
      </c>
      <c r="L37">
        <v>0.6</v>
      </c>
      <c r="M37">
        <v>1.8</v>
      </c>
      <c r="O37">
        <v>0</v>
      </c>
      <c r="P37">
        <v>0.22</v>
      </c>
      <c r="Q37">
        <v>7.0000000000000007E-2</v>
      </c>
      <c r="R37">
        <v>0.3</v>
      </c>
      <c r="S37">
        <v>15</v>
      </c>
      <c r="T37">
        <v>42</v>
      </c>
      <c r="U37">
        <v>0.09</v>
      </c>
      <c r="V37">
        <v>1</v>
      </c>
      <c r="W37">
        <v>134</v>
      </c>
      <c r="X37">
        <v>665.7</v>
      </c>
      <c r="Y37">
        <v>46</v>
      </c>
      <c r="Z37">
        <v>0.4</v>
      </c>
      <c r="AA37">
        <v>88</v>
      </c>
      <c r="AB37" t="s">
        <v>1206</v>
      </c>
    </row>
    <row r="38" spans="1:28" x14ac:dyDescent="0.2">
      <c r="A38">
        <v>144</v>
      </c>
      <c r="B38" t="s">
        <v>307</v>
      </c>
      <c r="C38" t="s">
        <v>1127</v>
      </c>
      <c r="D38" t="s">
        <v>451</v>
      </c>
      <c r="E38" t="s">
        <v>31</v>
      </c>
      <c r="F38" t="s">
        <v>1180</v>
      </c>
      <c r="G38">
        <v>15</v>
      </c>
      <c r="H38">
        <v>36</v>
      </c>
      <c r="I38">
        <v>1</v>
      </c>
      <c r="J38">
        <v>0.3</v>
      </c>
      <c r="K38">
        <v>7.3</v>
      </c>
      <c r="L38">
        <v>1.4</v>
      </c>
      <c r="M38">
        <v>0.5</v>
      </c>
      <c r="O38">
        <v>5833</v>
      </c>
      <c r="P38">
        <v>0.05</v>
      </c>
      <c r="Q38">
        <v>0.09</v>
      </c>
      <c r="R38">
        <v>3</v>
      </c>
      <c r="S38">
        <v>18</v>
      </c>
      <c r="T38">
        <v>29</v>
      </c>
      <c r="U38">
        <v>0.12</v>
      </c>
      <c r="V38">
        <v>0.5</v>
      </c>
      <c r="W38">
        <v>24</v>
      </c>
      <c r="X38">
        <v>272.39999999999998</v>
      </c>
      <c r="Y38">
        <v>23</v>
      </c>
      <c r="Z38">
        <v>0.2</v>
      </c>
      <c r="AA38">
        <v>85</v>
      </c>
      <c r="AB38" t="s">
        <v>1207</v>
      </c>
    </row>
    <row r="39" spans="1:28" x14ac:dyDescent="0.2">
      <c r="A39">
        <v>144</v>
      </c>
      <c r="B39" t="s">
        <v>307</v>
      </c>
      <c r="C39" t="s">
        <v>1127</v>
      </c>
      <c r="D39" t="s">
        <v>453</v>
      </c>
      <c r="E39" t="s">
        <v>31</v>
      </c>
      <c r="F39" t="s">
        <v>1208</v>
      </c>
      <c r="G39">
        <v>5</v>
      </c>
      <c r="H39">
        <v>120</v>
      </c>
      <c r="I39">
        <v>4.7</v>
      </c>
      <c r="J39">
        <v>2.4</v>
      </c>
      <c r="K39">
        <v>19.899999999999999</v>
      </c>
      <c r="L39">
        <v>15.2</v>
      </c>
      <c r="M39">
        <v>1.8</v>
      </c>
      <c r="O39">
        <v>1694</v>
      </c>
      <c r="P39">
        <v>0.24</v>
      </c>
      <c r="Q39">
        <v>0.09</v>
      </c>
      <c r="R39">
        <v>1.7</v>
      </c>
      <c r="S39">
        <v>70</v>
      </c>
      <c r="T39">
        <v>45</v>
      </c>
      <c r="U39">
        <v>0.28999999999999998</v>
      </c>
      <c r="V39">
        <v>2.5</v>
      </c>
      <c r="W39">
        <v>85</v>
      </c>
      <c r="X39">
        <v>706.2</v>
      </c>
      <c r="Y39">
        <v>34</v>
      </c>
      <c r="Z39">
        <v>0.6</v>
      </c>
      <c r="AA39">
        <v>85</v>
      </c>
      <c r="AB39" t="s">
        <v>1209</v>
      </c>
    </row>
    <row r="40" spans="1:28" x14ac:dyDescent="0.2">
      <c r="A40">
        <v>144</v>
      </c>
      <c r="B40" t="s">
        <v>307</v>
      </c>
      <c r="C40" t="s">
        <v>1127</v>
      </c>
      <c r="D40" t="s">
        <v>509</v>
      </c>
      <c r="E40" t="s">
        <v>31</v>
      </c>
      <c r="F40" t="s">
        <v>287</v>
      </c>
      <c r="G40">
        <v>8</v>
      </c>
      <c r="H40">
        <v>675</v>
      </c>
      <c r="I40">
        <v>19</v>
      </c>
      <c r="J40">
        <v>63</v>
      </c>
      <c r="K40">
        <v>8</v>
      </c>
      <c r="L40">
        <v>3</v>
      </c>
      <c r="M40">
        <v>3</v>
      </c>
      <c r="O40">
        <v>0</v>
      </c>
      <c r="P40">
        <v>0.06</v>
      </c>
      <c r="Q40">
        <v>0.06</v>
      </c>
      <c r="R40">
        <v>0.4</v>
      </c>
      <c r="S40">
        <v>0</v>
      </c>
      <c r="T40">
        <v>80</v>
      </c>
      <c r="U40">
        <v>0.23</v>
      </c>
      <c r="V40">
        <v>2</v>
      </c>
      <c r="W40">
        <v>200</v>
      </c>
      <c r="X40">
        <v>430.7</v>
      </c>
      <c r="Y40">
        <v>25</v>
      </c>
      <c r="Z40">
        <v>0.8</v>
      </c>
      <c r="AA40">
        <v>100</v>
      </c>
      <c r="AB40" t="s">
        <v>1210</v>
      </c>
    </row>
    <row r="41" spans="1:28" x14ac:dyDescent="0.2">
      <c r="A41">
        <v>144</v>
      </c>
      <c r="B41" t="s">
        <v>307</v>
      </c>
      <c r="C41" t="s">
        <v>1127</v>
      </c>
      <c r="D41" t="s">
        <v>510</v>
      </c>
      <c r="E41" t="s">
        <v>31</v>
      </c>
      <c r="F41" t="s">
        <v>1186</v>
      </c>
      <c r="G41">
        <v>3</v>
      </c>
      <c r="H41">
        <v>418</v>
      </c>
      <c r="I41">
        <v>14.1</v>
      </c>
      <c r="J41">
        <v>16.100000000000001</v>
      </c>
      <c r="K41">
        <v>54.2</v>
      </c>
      <c r="L41">
        <v>12.3</v>
      </c>
      <c r="M41">
        <v>4.4000000000000004</v>
      </c>
      <c r="O41">
        <v>75</v>
      </c>
      <c r="P41">
        <v>0.2</v>
      </c>
      <c r="Q41">
        <v>0.35</v>
      </c>
      <c r="R41">
        <v>1.8</v>
      </c>
      <c r="S41">
        <v>0</v>
      </c>
      <c r="T41">
        <v>630</v>
      </c>
      <c r="U41">
        <v>0.95</v>
      </c>
      <c r="V41">
        <v>17.899999999999999</v>
      </c>
      <c r="W41">
        <v>370</v>
      </c>
      <c r="X41">
        <v>1787</v>
      </c>
      <c r="Y41">
        <v>91</v>
      </c>
      <c r="Z41">
        <v>4.5999999999999996</v>
      </c>
      <c r="AA41">
        <v>100</v>
      </c>
      <c r="AB41" t="s">
        <v>1211</v>
      </c>
    </row>
    <row r="42" spans="1:28" x14ac:dyDescent="0.2">
      <c r="A42">
        <v>144</v>
      </c>
      <c r="B42" t="s">
        <v>307</v>
      </c>
      <c r="C42" t="s">
        <v>1127</v>
      </c>
      <c r="D42" t="s">
        <v>511</v>
      </c>
      <c r="E42" t="s">
        <v>31</v>
      </c>
      <c r="F42" t="s">
        <v>1146</v>
      </c>
      <c r="G42">
        <v>2</v>
      </c>
      <c r="H42">
        <v>365</v>
      </c>
      <c r="I42">
        <v>11.5</v>
      </c>
      <c r="J42">
        <v>6.8</v>
      </c>
      <c r="K42">
        <v>64.400000000000006</v>
      </c>
      <c r="L42">
        <v>1</v>
      </c>
      <c r="M42">
        <v>4.4000000000000004</v>
      </c>
      <c r="O42">
        <v>0</v>
      </c>
      <c r="P42">
        <v>0.2</v>
      </c>
      <c r="Q42">
        <v>0.1</v>
      </c>
      <c r="R42">
        <v>2.5</v>
      </c>
      <c r="T42">
        <v>460</v>
      </c>
      <c r="U42">
        <v>0.89</v>
      </c>
      <c r="V42">
        <v>16.399999999999999</v>
      </c>
      <c r="W42">
        <v>200</v>
      </c>
      <c r="X42">
        <v>99.7</v>
      </c>
      <c r="Y42">
        <v>4</v>
      </c>
      <c r="Z42">
        <v>1.1000000000000001</v>
      </c>
      <c r="AA42">
        <v>100</v>
      </c>
      <c r="AB42" t="s">
        <v>1212</v>
      </c>
    </row>
    <row r="43" spans="1:28" x14ac:dyDescent="0.2">
      <c r="A43">
        <v>144</v>
      </c>
      <c r="B43" t="s">
        <v>307</v>
      </c>
      <c r="C43" t="s">
        <v>1127</v>
      </c>
      <c r="D43" t="s">
        <v>1213</v>
      </c>
      <c r="E43" t="s">
        <v>31</v>
      </c>
      <c r="F43" t="s">
        <v>1214</v>
      </c>
      <c r="G43">
        <v>4</v>
      </c>
      <c r="H43">
        <v>51</v>
      </c>
      <c r="I43">
        <v>1.5</v>
      </c>
      <c r="J43">
        <v>1</v>
      </c>
      <c r="K43">
        <v>10.1</v>
      </c>
      <c r="L43">
        <v>12</v>
      </c>
      <c r="M43">
        <v>1.2</v>
      </c>
      <c r="O43">
        <v>0</v>
      </c>
      <c r="P43">
        <v>0.02</v>
      </c>
      <c r="Q43">
        <v>0.17</v>
      </c>
      <c r="R43">
        <v>3.3</v>
      </c>
      <c r="S43">
        <v>4</v>
      </c>
      <c r="T43">
        <v>21</v>
      </c>
      <c r="U43">
        <v>0.48</v>
      </c>
      <c r="V43">
        <v>1.6</v>
      </c>
      <c r="W43">
        <v>39</v>
      </c>
      <c r="X43">
        <v>441.7</v>
      </c>
      <c r="Y43">
        <v>12</v>
      </c>
      <c r="Z43">
        <v>0.7</v>
      </c>
      <c r="AA43">
        <v>97</v>
      </c>
      <c r="AB43" t="s">
        <v>1215</v>
      </c>
    </row>
    <row r="44" spans="1:28" x14ac:dyDescent="0.2">
      <c r="A44">
        <v>144</v>
      </c>
      <c r="B44" t="s">
        <v>307</v>
      </c>
      <c r="C44" t="s">
        <v>1127</v>
      </c>
      <c r="D44" t="s">
        <v>1183</v>
      </c>
      <c r="E44" t="s">
        <v>31</v>
      </c>
      <c r="F44" t="s">
        <v>1184</v>
      </c>
      <c r="G44">
        <v>5</v>
      </c>
      <c r="H44">
        <v>26</v>
      </c>
      <c r="I44">
        <v>1</v>
      </c>
      <c r="J44">
        <v>0.3</v>
      </c>
      <c r="K44">
        <v>4.7</v>
      </c>
      <c r="L44">
        <v>1.1000000000000001</v>
      </c>
      <c r="M44">
        <v>1</v>
      </c>
      <c r="O44">
        <v>5</v>
      </c>
      <c r="P44">
        <v>0.08</v>
      </c>
      <c r="Q44">
        <v>0.06</v>
      </c>
      <c r="R44">
        <v>0.3</v>
      </c>
      <c r="S44">
        <v>50</v>
      </c>
      <c r="T44">
        <v>50</v>
      </c>
      <c r="U44">
        <v>7.0000000000000007E-2</v>
      </c>
      <c r="V44">
        <v>2</v>
      </c>
      <c r="W44">
        <v>50</v>
      </c>
      <c r="X44">
        <v>137.1</v>
      </c>
      <c r="Y44">
        <v>24</v>
      </c>
      <c r="Z44">
        <v>0.3</v>
      </c>
      <c r="AA44">
        <v>80</v>
      </c>
      <c r="AB44" t="s">
        <v>1216</v>
      </c>
    </row>
    <row r="45" spans="1:28" x14ac:dyDescent="0.2">
      <c r="A45">
        <v>144</v>
      </c>
      <c r="B45" t="s">
        <v>307</v>
      </c>
      <c r="C45" t="s">
        <v>1127</v>
      </c>
      <c r="D45" t="s">
        <v>1217</v>
      </c>
      <c r="E45" t="s">
        <v>31</v>
      </c>
      <c r="F45" t="s">
        <v>1218</v>
      </c>
      <c r="G45">
        <v>5</v>
      </c>
      <c r="H45">
        <v>386</v>
      </c>
      <c r="I45">
        <v>3</v>
      </c>
      <c r="J45">
        <v>10</v>
      </c>
      <c r="K45">
        <v>76</v>
      </c>
      <c r="L45">
        <v>0</v>
      </c>
      <c r="M45">
        <v>1</v>
      </c>
      <c r="N45">
        <v>0</v>
      </c>
      <c r="O45">
        <v>0</v>
      </c>
      <c r="P45">
        <v>0</v>
      </c>
      <c r="Q45">
        <v>0.34</v>
      </c>
      <c r="R45">
        <v>0.5</v>
      </c>
      <c r="S45">
        <v>0</v>
      </c>
      <c r="T45">
        <v>76</v>
      </c>
      <c r="U45">
        <v>0</v>
      </c>
      <c r="V45">
        <v>2.6</v>
      </c>
      <c r="W45">
        <v>37</v>
      </c>
      <c r="X45">
        <v>0</v>
      </c>
      <c r="Y45">
        <v>2</v>
      </c>
      <c r="Z45">
        <v>0</v>
      </c>
      <c r="AA45">
        <v>100</v>
      </c>
      <c r="AB45" t="s">
        <v>1219</v>
      </c>
    </row>
    <row r="46" spans="1:28" x14ac:dyDescent="0.2">
      <c r="A46">
        <v>144</v>
      </c>
      <c r="B46" t="s">
        <v>307</v>
      </c>
      <c r="C46" t="s">
        <v>1127</v>
      </c>
      <c r="D46" t="s">
        <v>476</v>
      </c>
      <c r="E46" t="s">
        <v>31</v>
      </c>
      <c r="F46" t="s">
        <v>1197</v>
      </c>
      <c r="G46">
        <v>8</v>
      </c>
      <c r="H46">
        <v>884</v>
      </c>
      <c r="I46">
        <v>0</v>
      </c>
      <c r="J46">
        <v>100</v>
      </c>
      <c r="K46">
        <v>0</v>
      </c>
      <c r="L46">
        <v>0</v>
      </c>
      <c r="M46">
        <v>0</v>
      </c>
      <c r="O46">
        <v>18181</v>
      </c>
      <c r="P46">
        <v>0</v>
      </c>
      <c r="Q46">
        <v>0</v>
      </c>
      <c r="R46">
        <v>0</v>
      </c>
      <c r="S46">
        <v>0</v>
      </c>
      <c r="T46">
        <v>0</v>
      </c>
      <c r="U46">
        <v>0</v>
      </c>
      <c r="V46">
        <v>0</v>
      </c>
      <c r="W46">
        <v>0</v>
      </c>
      <c r="X46">
        <v>0</v>
      </c>
      <c r="Y46">
        <v>0</v>
      </c>
      <c r="Z46">
        <v>0</v>
      </c>
      <c r="AA46">
        <v>100</v>
      </c>
      <c r="AB46" t="s">
        <v>1220</v>
      </c>
    </row>
    <row r="47" spans="1:28" x14ac:dyDescent="0.2">
      <c r="A47" s="5">
        <v>144</v>
      </c>
      <c r="B47" s="5" t="s">
        <v>307</v>
      </c>
      <c r="C47" s="5" t="s">
        <v>1127</v>
      </c>
      <c r="D47" s="5"/>
      <c r="E47" s="5" t="s">
        <v>1151</v>
      </c>
      <c r="F47" s="5" t="s">
        <v>1152</v>
      </c>
      <c r="G47" s="5">
        <f>SUM(G36:G46)</f>
        <v>100</v>
      </c>
      <c r="H47" s="5">
        <f t="shared" ref="H47:AA47" si="3">SUMPRODUCT($G$36:$G$46/100,H36:H46)</f>
        <v>209.2</v>
      </c>
      <c r="I47" s="5">
        <f t="shared" si="3"/>
        <v>3.9430000000000001</v>
      </c>
      <c r="J47" s="5">
        <f t="shared" si="3"/>
        <v>14.498999999999999</v>
      </c>
      <c r="K47" s="5">
        <f t="shared" si="3"/>
        <v>16.308</v>
      </c>
      <c r="L47" s="5">
        <f t="shared" si="3"/>
        <v>2.734</v>
      </c>
      <c r="M47" s="5">
        <f t="shared" si="3"/>
        <v>1.3430000000000002</v>
      </c>
      <c r="N47" s="5">
        <f t="shared" si="3"/>
        <v>0</v>
      </c>
      <c r="O47" s="5">
        <f t="shared" si="3"/>
        <v>2417.23</v>
      </c>
      <c r="P47" s="5">
        <f t="shared" si="3"/>
        <v>8.1100000000000005E-2</v>
      </c>
      <c r="Q47" s="5">
        <f t="shared" si="3"/>
        <v>8.4599999999999995E-2</v>
      </c>
      <c r="R47" s="5">
        <f t="shared" si="3"/>
        <v>0.94800000000000006</v>
      </c>
      <c r="S47" s="5">
        <f t="shared" si="3"/>
        <v>11.71</v>
      </c>
      <c r="T47" s="5">
        <f t="shared" si="3"/>
        <v>65.34</v>
      </c>
      <c r="U47" s="5">
        <f t="shared" si="3"/>
        <v>0.15140000000000001</v>
      </c>
      <c r="V47" s="5">
        <f t="shared" si="3"/>
        <v>1.9089999999999998</v>
      </c>
      <c r="W47" s="5">
        <f t="shared" si="3"/>
        <v>76.959999999999994</v>
      </c>
      <c r="X47" s="5">
        <f t="shared" si="3"/>
        <v>344.18800000000005</v>
      </c>
      <c r="Y47" s="5">
        <f t="shared" si="3"/>
        <v>20.74</v>
      </c>
      <c r="Z47" s="5">
        <f t="shared" si="3"/>
        <v>0.44700000000000006</v>
      </c>
      <c r="AA47" s="5">
        <f t="shared" si="3"/>
        <v>91.08</v>
      </c>
      <c r="AB47" s="6" t="s">
        <v>1153</v>
      </c>
    </row>
    <row r="48" spans="1:28" x14ac:dyDescent="0.2">
      <c r="A48">
        <v>157</v>
      </c>
      <c r="B48" t="s">
        <v>331</v>
      </c>
      <c r="C48" t="s">
        <v>1127</v>
      </c>
      <c r="D48" t="s">
        <v>1221</v>
      </c>
      <c r="E48" t="s">
        <v>31</v>
      </c>
      <c r="F48" t="s">
        <v>1222</v>
      </c>
      <c r="G48">
        <v>18</v>
      </c>
      <c r="H48">
        <v>323</v>
      </c>
      <c r="I48">
        <v>22.9</v>
      </c>
      <c r="J48">
        <v>1.5</v>
      </c>
      <c r="K48">
        <v>56.8</v>
      </c>
      <c r="L48">
        <v>7.5</v>
      </c>
      <c r="M48">
        <v>3.3</v>
      </c>
      <c r="O48">
        <v>156</v>
      </c>
      <c r="P48">
        <v>0.46</v>
      </c>
      <c r="Q48">
        <v>0.15</v>
      </c>
      <c r="R48">
        <v>1.5</v>
      </c>
      <c r="S48">
        <v>10</v>
      </c>
      <c r="T48">
        <v>223</v>
      </c>
      <c r="U48">
        <v>1.9</v>
      </c>
      <c r="V48">
        <v>7.5</v>
      </c>
      <c r="W48">
        <v>319</v>
      </c>
      <c r="X48">
        <v>815.7</v>
      </c>
      <c r="Y48">
        <v>42</v>
      </c>
      <c r="Z48">
        <v>2.9</v>
      </c>
      <c r="AA48">
        <v>100</v>
      </c>
      <c r="AB48" t="s">
        <v>1223</v>
      </c>
    </row>
    <row r="49" spans="1:28" x14ac:dyDescent="0.2">
      <c r="A49">
        <v>157</v>
      </c>
      <c r="B49" t="s">
        <v>331</v>
      </c>
      <c r="C49" t="s">
        <v>1127</v>
      </c>
      <c r="D49" t="s">
        <v>1170</v>
      </c>
      <c r="E49" t="s">
        <v>31</v>
      </c>
      <c r="F49" t="s">
        <v>1171</v>
      </c>
      <c r="G49">
        <v>10</v>
      </c>
      <c r="H49">
        <v>324</v>
      </c>
      <c r="I49">
        <v>4.2</v>
      </c>
      <c r="J49">
        <v>34.299999999999997</v>
      </c>
      <c r="K49">
        <v>5.6</v>
      </c>
      <c r="L49">
        <v>0</v>
      </c>
      <c r="M49">
        <v>1</v>
      </c>
      <c r="N49">
        <v>0</v>
      </c>
      <c r="O49">
        <v>0</v>
      </c>
      <c r="P49">
        <v>0.02</v>
      </c>
      <c r="Q49">
        <v>0</v>
      </c>
      <c r="R49">
        <v>0.5</v>
      </c>
      <c r="S49">
        <v>2</v>
      </c>
      <c r="T49">
        <v>14</v>
      </c>
      <c r="U49">
        <v>0.37</v>
      </c>
      <c r="V49">
        <v>1.9</v>
      </c>
      <c r="W49">
        <v>45</v>
      </c>
      <c r="X49">
        <v>514.1</v>
      </c>
      <c r="Y49">
        <v>18</v>
      </c>
      <c r="Z49">
        <v>0.9</v>
      </c>
      <c r="AA49">
        <v>100</v>
      </c>
      <c r="AB49" t="s">
        <v>1224</v>
      </c>
    </row>
    <row r="50" spans="1:28" x14ac:dyDescent="0.2">
      <c r="A50">
        <v>157</v>
      </c>
      <c r="B50" t="s">
        <v>331</v>
      </c>
      <c r="C50" t="s">
        <v>1127</v>
      </c>
      <c r="D50" t="s">
        <v>1217</v>
      </c>
      <c r="E50" t="s">
        <v>31</v>
      </c>
      <c r="F50" t="s">
        <v>1218</v>
      </c>
      <c r="G50">
        <v>7</v>
      </c>
      <c r="H50">
        <v>386</v>
      </c>
      <c r="I50">
        <v>3</v>
      </c>
      <c r="J50">
        <v>10</v>
      </c>
      <c r="K50">
        <v>76</v>
      </c>
      <c r="L50">
        <v>0</v>
      </c>
      <c r="M50">
        <v>1</v>
      </c>
      <c r="N50">
        <v>0</v>
      </c>
      <c r="O50">
        <v>0</v>
      </c>
      <c r="P50">
        <v>0</v>
      </c>
      <c r="Q50">
        <v>0.34</v>
      </c>
      <c r="R50">
        <v>0.5</v>
      </c>
      <c r="S50">
        <v>0</v>
      </c>
      <c r="T50">
        <v>76</v>
      </c>
      <c r="U50">
        <v>0</v>
      </c>
      <c r="V50">
        <v>2.6</v>
      </c>
      <c r="W50">
        <v>37</v>
      </c>
      <c r="X50">
        <v>0</v>
      </c>
      <c r="Y50">
        <v>2</v>
      </c>
      <c r="Z50">
        <v>0</v>
      </c>
      <c r="AA50">
        <v>100</v>
      </c>
      <c r="AB50" t="s">
        <v>1225</v>
      </c>
    </row>
    <row r="51" spans="1:28" x14ac:dyDescent="0.2">
      <c r="A51">
        <v>157</v>
      </c>
      <c r="B51" t="s">
        <v>331</v>
      </c>
      <c r="C51" t="s">
        <v>1127</v>
      </c>
      <c r="D51" t="s">
        <v>1097</v>
      </c>
      <c r="E51" t="s">
        <v>31</v>
      </c>
      <c r="F51" t="s">
        <v>1195</v>
      </c>
      <c r="G51">
        <v>4</v>
      </c>
      <c r="H51">
        <v>394</v>
      </c>
      <c r="I51">
        <v>0</v>
      </c>
      <c r="J51">
        <v>0</v>
      </c>
      <c r="K51">
        <v>94</v>
      </c>
      <c r="L51">
        <v>0</v>
      </c>
      <c r="M51">
        <v>0.6</v>
      </c>
      <c r="N51">
        <v>0</v>
      </c>
      <c r="O51">
        <v>0</v>
      </c>
      <c r="P51">
        <v>0</v>
      </c>
      <c r="Q51">
        <v>0</v>
      </c>
      <c r="R51">
        <v>0</v>
      </c>
      <c r="S51">
        <v>0</v>
      </c>
      <c r="T51">
        <v>5</v>
      </c>
      <c r="U51">
        <v>0</v>
      </c>
      <c r="V51">
        <v>0.1</v>
      </c>
      <c r="W51">
        <v>1</v>
      </c>
      <c r="X51">
        <v>4.75</v>
      </c>
      <c r="Y51">
        <v>1</v>
      </c>
      <c r="Z51">
        <v>0</v>
      </c>
      <c r="AA51">
        <v>100</v>
      </c>
      <c r="AB51" t="s">
        <v>1196</v>
      </c>
    </row>
    <row r="52" spans="1:28" x14ac:dyDescent="0.2">
      <c r="A52">
        <v>157</v>
      </c>
      <c r="B52" t="s">
        <v>331</v>
      </c>
      <c r="C52" t="s">
        <v>1127</v>
      </c>
      <c r="D52" t="s">
        <v>1213</v>
      </c>
      <c r="E52" t="s">
        <v>31</v>
      </c>
      <c r="F52" t="s">
        <v>1214</v>
      </c>
      <c r="G52">
        <v>1</v>
      </c>
      <c r="H52">
        <v>51</v>
      </c>
      <c r="I52">
        <v>1.5</v>
      </c>
      <c r="J52">
        <v>1</v>
      </c>
      <c r="K52">
        <v>10.1</v>
      </c>
      <c r="L52">
        <v>12</v>
      </c>
      <c r="M52">
        <v>1.2</v>
      </c>
      <c r="O52">
        <v>0</v>
      </c>
      <c r="P52">
        <v>0.02</v>
      </c>
      <c r="Q52">
        <v>0.17</v>
      </c>
      <c r="R52">
        <v>3.3</v>
      </c>
      <c r="S52">
        <v>4</v>
      </c>
      <c r="T52">
        <v>21</v>
      </c>
      <c r="U52">
        <v>0.48</v>
      </c>
      <c r="V52">
        <v>1.6</v>
      </c>
      <c r="W52">
        <v>39</v>
      </c>
      <c r="X52">
        <v>441.7</v>
      </c>
      <c r="Y52">
        <v>12</v>
      </c>
      <c r="Z52">
        <v>0.7</v>
      </c>
      <c r="AA52">
        <v>97</v>
      </c>
      <c r="AB52" t="s">
        <v>1226</v>
      </c>
    </row>
    <row r="53" spans="1:28" x14ac:dyDescent="0.2">
      <c r="A53">
        <v>157</v>
      </c>
      <c r="B53" t="s">
        <v>331</v>
      </c>
      <c r="C53" t="s">
        <v>1127</v>
      </c>
      <c r="D53" t="s">
        <v>1227</v>
      </c>
      <c r="E53" t="s">
        <v>285</v>
      </c>
      <c r="F53" t="s">
        <v>1228</v>
      </c>
      <c r="G53">
        <v>60</v>
      </c>
      <c r="H53">
        <v>0</v>
      </c>
      <c r="I53">
        <v>0</v>
      </c>
      <c r="J53">
        <v>0</v>
      </c>
      <c r="K53">
        <v>0</v>
      </c>
      <c r="L53">
        <v>0</v>
      </c>
      <c r="M53">
        <v>7.0000000000000007E-2</v>
      </c>
      <c r="N53">
        <v>0</v>
      </c>
      <c r="O53">
        <v>0</v>
      </c>
      <c r="P53">
        <v>0</v>
      </c>
      <c r="Q53">
        <v>0</v>
      </c>
      <c r="R53">
        <v>0</v>
      </c>
      <c r="S53">
        <v>0</v>
      </c>
      <c r="T53">
        <v>10</v>
      </c>
      <c r="U53">
        <v>7.0000000000000001E-3</v>
      </c>
      <c r="V53">
        <v>0</v>
      </c>
      <c r="W53">
        <v>0</v>
      </c>
      <c r="X53">
        <v>0</v>
      </c>
      <c r="Y53">
        <v>2</v>
      </c>
      <c r="Z53">
        <v>0</v>
      </c>
      <c r="AA53">
        <v>100</v>
      </c>
      <c r="AB53" t="s">
        <v>1229</v>
      </c>
    </row>
    <row r="54" spans="1:28" x14ac:dyDescent="0.2">
      <c r="A54" s="5">
        <v>157</v>
      </c>
      <c r="B54" s="5" t="s">
        <v>331</v>
      </c>
      <c r="C54" s="5" t="s">
        <v>1127</v>
      </c>
      <c r="D54" s="5"/>
      <c r="E54" s="5" t="s">
        <v>1151</v>
      </c>
      <c r="F54" s="5" t="s">
        <v>1152</v>
      </c>
      <c r="G54" s="5">
        <f>SUM(G48:G53)</f>
        <v>100</v>
      </c>
      <c r="H54" s="5">
        <f t="shared" ref="H54:AA54" si="4">SUMPRODUCT($G$48:$G$53/100,H48:H53)</f>
        <v>133.82999999999998</v>
      </c>
      <c r="I54" s="5">
        <f t="shared" si="4"/>
        <v>4.7669999999999995</v>
      </c>
      <c r="J54" s="5">
        <f t="shared" si="4"/>
        <v>4.4099999999999993</v>
      </c>
      <c r="K54" s="5">
        <f t="shared" si="4"/>
        <v>19.965</v>
      </c>
      <c r="L54" s="5">
        <f t="shared" si="4"/>
        <v>1.4699999999999998</v>
      </c>
      <c r="M54" s="5">
        <f t="shared" si="4"/>
        <v>0.84200000000000008</v>
      </c>
      <c r="N54" s="5">
        <f t="shared" si="4"/>
        <v>0</v>
      </c>
      <c r="O54" s="5">
        <f t="shared" si="4"/>
        <v>28.08</v>
      </c>
      <c r="P54" s="5">
        <f t="shared" si="4"/>
        <v>8.5000000000000006E-2</v>
      </c>
      <c r="Q54" s="5">
        <f t="shared" si="4"/>
        <v>5.2500000000000005E-2</v>
      </c>
      <c r="R54" s="5">
        <f t="shared" si="4"/>
        <v>0.38800000000000001</v>
      </c>
      <c r="S54" s="5">
        <f t="shared" si="4"/>
        <v>2.0399999999999996</v>
      </c>
      <c r="T54" s="5">
        <f t="shared" si="4"/>
        <v>53.27</v>
      </c>
      <c r="U54" s="5">
        <f t="shared" si="4"/>
        <v>0.38799999999999996</v>
      </c>
      <c r="V54" s="5">
        <f t="shared" si="4"/>
        <v>1.7419999999999998</v>
      </c>
      <c r="W54" s="5">
        <f t="shared" si="4"/>
        <v>64.94</v>
      </c>
      <c r="X54" s="5">
        <f t="shared" si="4"/>
        <v>202.84299999999999</v>
      </c>
      <c r="Y54" s="5">
        <f t="shared" si="4"/>
        <v>10.859999999999998</v>
      </c>
      <c r="Z54" s="5">
        <f t="shared" si="4"/>
        <v>0.61899999999999999</v>
      </c>
      <c r="AA54" s="5">
        <f t="shared" si="4"/>
        <v>99.97</v>
      </c>
      <c r="AB54" s="6" t="s">
        <v>1230</v>
      </c>
    </row>
    <row r="55" spans="1:28" x14ac:dyDescent="0.2">
      <c r="A55">
        <v>158</v>
      </c>
      <c r="B55" t="s">
        <v>333</v>
      </c>
      <c r="C55" t="s">
        <v>1127</v>
      </c>
      <c r="D55" t="s">
        <v>1111</v>
      </c>
      <c r="E55" t="s">
        <v>31</v>
      </c>
      <c r="F55" t="s">
        <v>1231</v>
      </c>
      <c r="G55">
        <v>24</v>
      </c>
      <c r="H55">
        <v>180</v>
      </c>
      <c r="I55">
        <v>3</v>
      </c>
      <c r="J55">
        <v>0.3</v>
      </c>
      <c r="K55">
        <v>39.799999999999997</v>
      </c>
      <c r="L55">
        <v>0.2</v>
      </c>
      <c r="M55">
        <v>0.2</v>
      </c>
      <c r="N55">
        <v>0</v>
      </c>
      <c r="O55">
        <v>0</v>
      </c>
      <c r="P55">
        <v>0.05</v>
      </c>
      <c r="Q55">
        <v>0.1</v>
      </c>
      <c r="R55">
        <v>2.6</v>
      </c>
      <c r="S55">
        <v>0</v>
      </c>
      <c r="T55">
        <v>25</v>
      </c>
      <c r="U55">
        <v>0.1</v>
      </c>
      <c r="V55">
        <v>0.4</v>
      </c>
      <c r="W55">
        <v>27</v>
      </c>
      <c r="X55">
        <v>38</v>
      </c>
      <c r="Y55">
        <v>1</v>
      </c>
      <c r="Z55">
        <v>0.6</v>
      </c>
      <c r="AA55">
        <v>100</v>
      </c>
      <c r="AB55" t="s">
        <v>1585</v>
      </c>
    </row>
    <row r="56" spans="1:28" x14ac:dyDescent="0.2">
      <c r="A56">
        <v>158</v>
      </c>
      <c r="B56" t="s">
        <v>333</v>
      </c>
      <c r="C56" t="s">
        <v>1127</v>
      </c>
      <c r="D56" t="s">
        <v>1232</v>
      </c>
      <c r="E56" t="s">
        <v>31</v>
      </c>
      <c r="F56" t="s">
        <v>1233</v>
      </c>
      <c r="G56">
        <v>12</v>
      </c>
      <c r="H56">
        <v>80</v>
      </c>
      <c r="I56">
        <v>10.9</v>
      </c>
      <c r="J56">
        <v>4.7</v>
      </c>
      <c r="K56">
        <v>0.8</v>
      </c>
      <c r="L56">
        <v>0.1</v>
      </c>
      <c r="M56">
        <v>1.4</v>
      </c>
      <c r="O56">
        <v>118</v>
      </c>
      <c r="P56">
        <v>0.01</v>
      </c>
      <c r="Q56">
        <v>0.08</v>
      </c>
      <c r="R56">
        <v>0.1</v>
      </c>
      <c r="T56">
        <v>223</v>
      </c>
      <c r="U56">
        <v>0.19</v>
      </c>
      <c r="V56">
        <v>3.4</v>
      </c>
      <c r="W56">
        <v>183</v>
      </c>
      <c r="X56">
        <v>50.6</v>
      </c>
      <c r="Y56">
        <v>2</v>
      </c>
      <c r="Z56">
        <v>0.8</v>
      </c>
      <c r="AA56">
        <v>100</v>
      </c>
      <c r="AB56" t="s">
        <v>1234</v>
      </c>
    </row>
    <row r="57" spans="1:28" x14ac:dyDescent="0.2">
      <c r="A57">
        <v>158</v>
      </c>
      <c r="B57" t="s">
        <v>333</v>
      </c>
      <c r="C57" t="s">
        <v>1127</v>
      </c>
      <c r="D57" t="s">
        <v>1235</v>
      </c>
      <c r="E57" t="s">
        <v>31</v>
      </c>
      <c r="F57" t="s">
        <v>467</v>
      </c>
      <c r="G57">
        <v>8</v>
      </c>
      <c r="H57">
        <v>201</v>
      </c>
      <c r="I57">
        <v>20.8</v>
      </c>
      <c r="J57">
        <v>8.8000000000000007</v>
      </c>
      <c r="K57">
        <v>13.5</v>
      </c>
      <c r="L57">
        <v>1.4</v>
      </c>
      <c r="M57">
        <v>1.6</v>
      </c>
      <c r="O57">
        <v>0</v>
      </c>
      <c r="P57">
        <v>0.19</v>
      </c>
      <c r="Q57">
        <v>0.59</v>
      </c>
      <c r="R57">
        <v>4.9000000000000004</v>
      </c>
      <c r="T57">
        <v>155</v>
      </c>
      <c r="U57">
        <v>0.56999999999999995</v>
      </c>
      <c r="V57">
        <v>4</v>
      </c>
      <c r="W57">
        <v>326</v>
      </c>
      <c r="X57">
        <v>234</v>
      </c>
      <c r="Y57">
        <v>9</v>
      </c>
      <c r="Z57">
        <v>1.7</v>
      </c>
      <c r="AA57">
        <v>100</v>
      </c>
      <c r="AB57" t="s">
        <v>1236</v>
      </c>
    </row>
    <row r="58" spans="1:28" x14ac:dyDescent="0.2">
      <c r="A58">
        <v>158</v>
      </c>
      <c r="B58" t="s">
        <v>333</v>
      </c>
      <c r="C58" t="s">
        <v>1127</v>
      </c>
      <c r="D58" t="s">
        <v>1237</v>
      </c>
      <c r="E58" t="s">
        <v>31</v>
      </c>
      <c r="F58" t="s">
        <v>1238</v>
      </c>
      <c r="G58">
        <v>8</v>
      </c>
      <c r="H58">
        <v>34</v>
      </c>
      <c r="I58">
        <v>3.7</v>
      </c>
      <c r="J58">
        <v>1.2</v>
      </c>
      <c r="K58">
        <v>4.3</v>
      </c>
      <c r="L58">
        <v>1.1000000000000001</v>
      </c>
      <c r="M58">
        <v>0.4</v>
      </c>
      <c r="O58">
        <v>41</v>
      </c>
      <c r="P58">
        <v>0.09</v>
      </c>
      <c r="Q58">
        <v>0.15</v>
      </c>
      <c r="R58">
        <v>1.1000000000000001</v>
      </c>
      <c r="S58">
        <v>5</v>
      </c>
      <c r="T58">
        <v>166</v>
      </c>
      <c r="U58">
        <v>0.16</v>
      </c>
      <c r="V58">
        <v>0.8</v>
      </c>
      <c r="W58">
        <v>74</v>
      </c>
      <c r="X58">
        <v>93.3</v>
      </c>
      <c r="Y58">
        <v>18.899999999999999</v>
      </c>
      <c r="Z58">
        <v>0.4</v>
      </c>
      <c r="AA58">
        <v>100</v>
      </c>
      <c r="AB58" t="s">
        <v>1239</v>
      </c>
    </row>
    <row r="59" spans="1:28" x14ac:dyDescent="0.2">
      <c r="A59">
        <v>158</v>
      </c>
      <c r="B59" t="s">
        <v>333</v>
      </c>
      <c r="C59" t="s">
        <v>1127</v>
      </c>
      <c r="D59" t="s">
        <v>1240</v>
      </c>
      <c r="E59" t="s">
        <v>31</v>
      </c>
      <c r="F59" t="s">
        <v>1241</v>
      </c>
      <c r="G59">
        <v>10</v>
      </c>
      <c r="H59">
        <v>28</v>
      </c>
      <c r="I59">
        <v>3.4</v>
      </c>
      <c r="J59">
        <v>0.7</v>
      </c>
      <c r="K59">
        <v>3.9</v>
      </c>
      <c r="L59">
        <v>2</v>
      </c>
      <c r="M59">
        <v>1</v>
      </c>
      <c r="O59">
        <v>2868</v>
      </c>
      <c r="P59">
        <v>7.0000000000000007E-2</v>
      </c>
      <c r="Q59">
        <v>0.36</v>
      </c>
      <c r="R59">
        <v>2</v>
      </c>
      <c r="S59">
        <v>17</v>
      </c>
      <c r="T59">
        <v>67</v>
      </c>
      <c r="U59">
        <v>0.13</v>
      </c>
      <c r="V59">
        <v>2.2999999999999998</v>
      </c>
      <c r="W59">
        <v>54</v>
      </c>
      <c r="X59">
        <v>250.1</v>
      </c>
      <c r="Y59">
        <v>64.900000000000006</v>
      </c>
      <c r="Z59">
        <v>0.4</v>
      </c>
      <c r="AA59">
        <v>60</v>
      </c>
      <c r="AB59" t="s">
        <v>1242</v>
      </c>
    </row>
    <row r="60" spans="1:28" x14ac:dyDescent="0.2">
      <c r="A60">
        <v>158</v>
      </c>
      <c r="B60" t="s">
        <v>333</v>
      </c>
      <c r="C60" t="s">
        <v>1127</v>
      </c>
      <c r="D60" t="s">
        <v>1130</v>
      </c>
      <c r="E60" t="s">
        <v>31</v>
      </c>
      <c r="F60" t="s">
        <v>1131</v>
      </c>
      <c r="G60">
        <v>6</v>
      </c>
      <c r="H60">
        <v>51</v>
      </c>
      <c r="I60">
        <v>2.5</v>
      </c>
      <c r="J60">
        <v>1.1000000000000001</v>
      </c>
      <c r="K60">
        <v>8</v>
      </c>
      <c r="L60">
        <v>3.4</v>
      </c>
      <c r="M60">
        <v>2.2000000000000002</v>
      </c>
      <c r="O60">
        <v>9999</v>
      </c>
      <c r="P60">
        <v>0.4</v>
      </c>
      <c r="Q60">
        <v>0.1</v>
      </c>
      <c r="R60">
        <v>0.2</v>
      </c>
      <c r="S60">
        <v>16</v>
      </c>
      <c r="T60">
        <v>100</v>
      </c>
      <c r="U60">
        <v>0.9</v>
      </c>
      <c r="V60">
        <v>3.4</v>
      </c>
      <c r="W60">
        <v>50</v>
      </c>
      <c r="X60">
        <v>100</v>
      </c>
      <c r="Y60">
        <v>50</v>
      </c>
      <c r="Z60">
        <v>0.6</v>
      </c>
      <c r="AA60">
        <v>75</v>
      </c>
      <c r="AB60" t="s">
        <v>1132</v>
      </c>
    </row>
    <row r="61" spans="1:28" x14ac:dyDescent="0.2">
      <c r="A61">
        <v>158</v>
      </c>
      <c r="B61" t="s">
        <v>333</v>
      </c>
      <c r="C61" t="s">
        <v>1127</v>
      </c>
      <c r="D61" t="s">
        <v>1077</v>
      </c>
      <c r="E61" t="s">
        <v>31</v>
      </c>
      <c r="F61" t="s">
        <v>1154</v>
      </c>
      <c r="G61">
        <v>7</v>
      </c>
      <c r="H61">
        <v>31</v>
      </c>
      <c r="I61">
        <v>2.2999999999999998</v>
      </c>
      <c r="J61">
        <v>0.1</v>
      </c>
      <c r="K61">
        <v>5.3</v>
      </c>
      <c r="L61">
        <v>2.7</v>
      </c>
      <c r="M61">
        <v>0.5</v>
      </c>
      <c r="N61">
        <v>0</v>
      </c>
      <c r="O61">
        <v>125</v>
      </c>
      <c r="P61">
        <v>0.7</v>
      </c>
      <c r="Q61">
        <v>0.1</v>
      </c>
      <c r="R61">
        <v>0.3</v>
      </c>
      <c r="S61">
        <v>46</v>
      </c>
      <c r="T61">
        <v>60</v>
      </c>
      <c r="U61">
        <v>0.1</v>
      </c>
      <c r="V61">
        <v>0.6</v>
      </c>
      <c r="W61">
        <v>64</v>
      </c>
      <c r="X61">
        <v>213</v>
      </c>
      <c r="Y61">
        <v>30</v>
      </c>
      <c r="Z61">
        <v>0.5</v>
      </c>
      <c r="AA61">
        <v>92</v>
      </c>
      <c r="AB61" t="s">
        <v>1243</v>
      </c>
    </row>
    <row r="62" spans="1:28" x14ac:dyDescent="0.2">
      <c r="A62">
        <v>158</v>
      </c>
      <c r="B62" t="s">
        <v>333</v>
      </c>
      <c r="C62" t="s">
        <v>1127</v>
      </c>
      <c r="D62" t="s">
        <v>1244</v>
      </c>
      <c r="E62" t="s">
        <v>31</v>
      </c>
      <c r="F62" t="s">
        <v>1245</v>
      </c>
      <c r="G62">
        <v>5</v>
      </c>
      <c r="H62">
        <v>8</v>
      </c>
      <c r="I62">
        <v>0.2</v>
      </c>
      <c r="J62">
        <v>0.2</v>
      </c>
      <c r="K62">
        <v>1.4</v>
      </c>
      <c r="L62">
        <v>0.3</v>
      </c>
      <c r="M62">
        <v>0.3</v>
      </c>
      <c r="N62">
        <v>0</v>
      </c>
      <c r="O62">
        <v>18</v>
      </c>
      <c r="P62">
        <v>0.01</v>
      </c>
      <c r="Q62">
        <v>0.02</v>
      </c>
      <c r="R62">
        <v>0.1</v>
      </c>
      <c r="S62">
        <v>1</v>
      </c>
      <c r="T62">
        <v>29</v>
      </c>
      <c r="U62">
        <v>0.02</v>
      </c>
      <c r="V62">
        <v>0.8</v>
      </c>
      <c r="W62">
        <v>95</v>
      </c>
      <c r="X62">
        <v>57.1</v>
      </c>
      <c r="Y62">
        <v>1.7</v>
      </c>
      <c r="Z62">
        <v>0.1</v>
      </c>
      <c r="AA62">
        <v>55</v>
      </c>
      <c r="AB62" t="s">
        <v>1246</v>
      </c>
    </row>
    <row r="63" spans="1:28" x14ac:dyDescent="0.2">
      <c r="A63">
        <v>158</v>
      </c>
      <c r="B63" t="s">
        <v>333</v>
      </c>
      <c r="C63" t="s">
        <v>1127</v>
      </c>
      <c r="D63" t="s">
        <v>1066</v>
      </c>
      <c r="E63" t="s">
        <v>31</v>
      </c>
      <c r="F63" t="s">
        <v>1247</v>
      </c>
      <c r="G63">
        <v>7</v>
      </c>
      <c r="H63">
        <v>154</v>
      </c>
      <c r="I63">
        <v>12.4</v>
      </c>
      <c r="J63">
        <v>10.8</v>
      </c>
      <c r="K63">
        <v>0.7</v>
      </c>
      <c r="L63">
        <v>0</v>
      </c>
      <c r="M63">
        <v>0.8</v>
      </c>
      <c r="N63">
        <v>61</v>
      </c>
      <c r="O63">
        <v>22</v>
      </c>
      <c r="P63">
        <v>0.12</v>
      </c>
      <c r="Q63">
        <v>0.38</v>
      </c>
      <c r="R63">
        <v>0.2</v>
      </c>
      <c r="S63">
        <v>0</v>
      </c>
      <c r="T63">
        <v>86</v>
      </c>
      <c r="U63">
        <v>0.16</v>
      </c>
      <c r="V63">
        <v>3</v>
      </c>
      <c r="W63">
        <v>258</v>
      </c>
      <c r="X63">
        <v>118.5</v>
      </c>
      <c r="Y63">
        <v>142</v>
      </c>
      <c r="Z63">
        <v>1</v>
      </c>
      <c r="AA63">
        <v>89</v>
      </c>
      <c r="AB63" t="s">
        <v>1248</v>
      </c>
    </row>
    <row r="64" spans="1:28" x14ac:dyDescent="0.2">
      <c r="A64">
        <v>158</v>
      </c>
      <c r="B64" t="s">
        <v>333</v>
      </c>
      <c r="C64" t="s">
        <v>1127</v>
      </c>
      <c r="D64" t="s">
        <v>1249</v>
      </c>
      <c r="E64" t="s">
        <v>31</v>
      </c>
      <c r="F64" t="s">
        <v>1250</v>
      </c>
      <c r="G64">
        <v>8</v>
      </c>
      <c r="H64">
        <v>560</v>
      </c>
      <c r="I64">
        <v>29.5</v>
      </c>
      <c r="J64">
        <v>43</v>
      </c>
      <c r="K64">
        <v>24.1</v>
      </c>
      <c r="L64">
        <v>2.9</v>
      </c>
      <c r="M64">
        <v>2.2000000000000002</v>
      </c>
      <c r="O64">
        <v>0</v>
      </c>
      <c r="P64">
        <v>0.31</v>
      </c>
      <c r="Q64">
        <v>0.3</v>
      </c>
      <c r="R64">
        <v>15.5</v>
      </c>
      <c r="T64">
        <v>107</v>
      </c>
      <c r="U64">
        <v>1.69</v>
      </c>
      <c r="V64">
        <v>4.0999999999999996</v>
      </c>
      <c r="W64">
        <v>366</v>
      </c>
      <c r="X64">
        <v>509.8</v>
      </c>
      <c r="Y64">
        <v>34</v>
      </c>
      <c r="Z64">
        <v>2.1</v>
      </c>
      <c r="AA64">
        <v>100</v>
      </c>
      <c r="AB64" t="s">
        <v>1251</v>
      </c>
    </row>
    <row r="65" spans="1:28" x14ac:dyDescent="0.2">
      <c r="A65">
        <v>158</v>
      </c>
      <c r="B65" t="s">
        <v>333</v>
      </c>
      <c r="C65" t="s">
        <v>1127</v>
      </c>
      <c r="D65" t="s">
        <v>1217</v>
      </c>
      <c r="E65" t="s">
        <v>31</v>
      </c>
      <c r="F65" t="s">
        <v>1218</v>
      </c>
      <c r="G65">
        <v>2</v>
      </c>
      <c r="H65">
        <v>386</v>
      </c>
      <c r="I65">
        <v>3</v>
      </c>
      <c r="J65">
        <v>10</v>
      </c>
      <c r="K65">
        <v>76</v>
      </c>
      <c r="L65">
        <v>0</v>
      </c>
      <c r="M65">
        <v>1</v>
      </c>
      <c r="N65">
        <v>0</v>
      </c>
      <c r="O65">
        <v>0</v>
      </c>
      <c r="P65">
        <v>0</v>
      </c>
      <c r="Q65">
        <v>0.34</v>
      </c>
      <c r="R65">
        <v>0.5</v>
      </c>
      <c r="S65">
        <v>0</v>
      </c>
      <c r="T65">
        <v>76</v>
      </c>
      <c r="U65">
        <v>0</v>
      </c>
      <c r="V65">
        <v>2.6</v>
      </c>
      <c r="W65">
        <v>37</v>
      </c>
      <c r="X65">
        <v>0</v>
      </c>
      <c r="Y65">
        <v>2</v>
      </c>
      <c r="Z65">
        <v>0</v>
      </c>
      <c r="AA65">
        <v>100</v>
      </c>
      <c r="AB65" t="s">
        <v>1252</v>
      </c>
    </row>
    <row r="66" spans="1:28" x14ac:dyDescent="0.2">
      <c r="A66">
        <v>158</v>
      </c>
      <c r="B66" t="s">
        <v>333</v>
      </c>
      <c r="C66" t="s">
        <v>1127</v>
      </c>
      <c r="D66" t="s">
        <v>450</v>
      </c>
      <c r="E66" t="s">
        <v>31</v>
      </c>
      <c r="F66" t="s">
        <v>1175</v>
      </c>
      <c r="G66">
        <v>1</v>
      </c>
      <c r="H66">
        <v>112</v>
      </c>
      <c r="I66">
        <v>4.5</v>
      </c>
      <c r="J66">
        <v>0.2</v>
      </c>
      <c r="K66">
        <v>23.1</v>
      </c>
      <c r="L66">
        <v>0.6</v>
      </c>
      <c r="M66">
        <v>1.8</v>
      </c>
      <c r="O66">
        <v>0</v>
      </c>
      <c r="P66">
        <v>0.22</v>
      </c>
      <c r="Q66">
        <v>7.0000000000000007E-2</v>
      </c>
      <c r="R66">
        <v>0.3</v>
      </c>
      <c r="S66">
        <v>15</v>
      </c>
      <c r="T66">
        <v>42</v>
      </c>
      <c r="U66">
        <v>0.09</v>
      </c>
      <c r="V66">
        <v>1</v>
      </c>
      <c r="W66">
        <v>134</v>
      </c>
      <c r="X66">
        <v>665.7</v>
      </c>
      <c r="Y66">
        <v>46</v>
      </c>
      <c r="Z66">
        <v>0.4</v>
      </c>
      <c r="AA66">
        <v>88</v>
      </c>
      <c r="AB66" t="s">
        <v>1253</v>
      </c>
    </row>
    <row r="67" spans="1:28" x14ac:dyDescent="0.2">
      <c r="A67">
        <v>158</v>
      </c>
      <c r="B67" t="s">
        <v>333</v>
      </c>
      <c r="C67" t="s">
        <v>1127</v>
      </c>
      <c r="D67" t="s">
        <v>451</v>
      </c>
      <c r="E67" t="s">
        <v>31</v>
      </c>
      <c r="F67" t="s">
        <v>1180</v>
      </c>
      <c r="G67">
        <v>1</v>
      </c>
      <c r="H67">
        <v>36</v>
      </c>
      <c r="I67">
        <v>1</v>
      </c>
      <c r="J67">
        <v>0.3</v>
      </c>
      <c r="K67">
        <v>7.3</v>
      </c>
      <c r="L67">
        <v>1.4</v>
      </c>
      <c r="M67">
        <v>0.5</v>
      </c>
      <c r="O67">
        <v>5833</v>
      </c>
      <c r="P67">
        <v>0.05</v>
      </c>
      <c r="Q67">
        <v>0.09</v>
      </c>
      <c r="R67">
        <v>3</v>
      </c>
      <c r="S67">
        <v>18</v>
      </c>
      <c r="T67">
        <v>29</v>
      </c>
      <c r="U67">
        <v>0.12</v>
      </c>
      <c r="V67">
        <v>0.5</v>
      </c>
      <c r="W67">
        <v>24</v>
      </c>
      <c r="X67">
        <v>272.39999999999998</v>
      </c>
      <c r="Y67">
        <v>23</v>
      </c>
      <c r="Z67">
        <v>0.2</v>
      </c>
      <c r="AA67">
        <v>85</v>
      </c>
      <c r="AB67" t="s">
        <v>1254</v>
      </c>
    </row>
    <row r="68" spans="1:28" x14ac:dyDescent="0.2">
      <c r="A68">
        <v>158</v>
      </c>
      <c r="B68" t="s">
        <v>333</v>
      </c>
      <c r="C68" t="s">
        <v>1127</v>
      </c>
      <c r="D68" t="s">
        <v>1201</v>
      </c>
      <c r="E68" t="s">
        <v>285</v>
      </c>
      <c r="F68" t="s">
        <v>1202</v>
      </c>
      <c r="G68">
        <v>1</v>
      </c>
      <c r="H68">
        <v>0</v>
      </c>
      <c r="I68">
        <v>0</v>
      </c>
      <c r="J68">
        <v>0</v>
      </c>
      <c r="K68">
        <v>0</v>
      </c>
      <c r="L68">
        <v>0</v>
      </c>
      <c r="M68">
        <v>99</v>
      </c>
      <c r="N68">
        <v>0</v>
      </c>
      <c r="O68">
        <v>0</v>
      </c>
      <c r="P68">
        <v>0</v>
      </c>
      <c r="Q68">
        <v>0</v>
      </c>
      <c r="R68">
        <v>0</v>
      </c>
      <c r="S68">
        <v>0</v>
      </c>
      <c r="T68">
        <v>50</v>
      </c>
      <c r="U68">
        <v>0</v>
      </c>
      <c r="V68">
        <v>0</v>
      </c>
      <c r="W68">
        <v>0</v>
      </c>
      <c r="X68">
        <v>2</v>
      </c>
      <c r="Y68">
        <v>38700</v>
      </c>
      <c r="Z68">
        <v>0</v>
      </c>
      <c r="AA68">
        <v>100</v>
      </c>
      <c r="AB68" t="s">
        <v>1203</v>
      </c>
    </row>
    <row r="69" spans="1:28" x14ac:dyDescent="0.2">
      <c r="A69" s="5">
        <v>158</v>
      </c>
      <c r="B69" s="5" t="s">
        <v>333</v>
      </c>
      <c r="C69" s="5" t="s">
        <v>1127</v>
      </c>
      <c r="D69" s="5"/>
      <c r="E69" s="5" t="s">
        <v>1151</v>
      </c>
      <c r="F69" s="5" t="s">
        <v>1152</v>
      </c>
      <c r="G69" s="5">
        <f>SUM(G55:G68)</f>
        <v>100</v>
      </c>
      <c r="H69" s="5">
        <f t="shared" ref="H69:AA69" si="5">SUMPRODUCT($G$55:$G$68/100,H55:H68)</f>
        <v>144.81000000000003</v>
      </c>
      <c r="I69" s="5">
        <f t="shared" si="5"/>
        <v>7.992</v>
      </c>
      <c r="J69" s="5">
        <f t="shared" si="5"/>
        <v>5.99</v>
      </c>
      <c r="K69" s="5">
        <f t="shared" si="5"/>
        <v>16.184000000000001</v>
      </c>
      <c r="L69" s="5">
        <f t="shared" si="5"/>
        <v>1.1200000000000001</v>
      </c>
      <c r="M69" s="5">
        <f t="shared" si="5"/>
        <v>1.923</v>
      </c>
      <c r="N69" s="5">
        <f t="shared" si="5"/>
        <v>4.2700000000000005</v>
      </c>
      <c r="O69" s="5">
        <f t="shared" si="5"/>
        <v>973.69999999999993</v>
      </c>
      <c r="P69" s="5">
        <f t="shared" si="5"/>
        <v>0.152</v>
      </c>
      <c r="Q69" s="5">
        <f t="shared" si="5"/>
        <v>0.20180000000000003</v>
      </c>
      <c r="R69" s="5">
        <f t="shared" si="5"/>
        <v>2.6509999999999994</v>
      </c>
      <c r="S69" s="5">
        <f t="shared" si="5"/>
        <v>6.66</v>
      </c>
      <c r="T69" s="5">
        <f t="shared" si="5"/>
        <v>94.100000000000009</v>
      </c>
      <c r="U69" s="5">
        <f t="shared" si="5"/>
        <v>0.32869999999999999</v>
      </c>
      <c r="V69" s="5">
        <f t="shared" si="5"/>
        <v>2.0089999999999999</v>
      </c>
      <c r="W69" s="5">
        <f t="shared" si="5"/>
        <v>127.73</v>
      </c>
      <c r="X69" s="5">
        <f t="shared" si="5"/>
        <v>148.631</v>
      </c>
      <c r="Y69" s="5">
        <f t="shared" si="5"/>
        <v>414.77699999999999</v>
      </c>
      <c r="Z69" s="5">
        <f t="shared" si="5"/>
        <v>0.76800000000000013</v>
      </c>
      <c r="AA69" s="5">
        <f t="shared" si="5"/>
        <v>90.649999999999991</v>
      </c>
      <c r="AB69" s="6" t="s">
        <v>1255</v>
      </c>
    </row>
    <row r="70" spans="1:28" x14ac:dyDescent="0.2">
      <c r="A70">
        <v>160</v>
      </c>
      <c r="B70" t="s">
        <v>337</v>
      </c>
      <c r="C70" t="s">
        <v>1127</v>
      </c>
      <c r="D70" t="s">
        <v>1111</v>
      </c>
      <c r="E70" t="s">
        <v>31</v>
      </c>
      <c r="F70" t="s">
        <v>1231</v>
      </c>
      <c r="G70">
        <v>64</v>
      </c>
      <c r="H70">
        <v>180</v>
      </c>
      <c r="I70">
        <v>3</v>
      </c>
      <c r="J70">
        <v>0.3</v>
      </c>
      <c r="K70">
        <v>39.799999999999997</v>
      </c>
      <c r="L70">
        <v>0.2</v>
      </c>
      <c r="M70">
        <v>0.2</v>
      </c>
      <c r="N70">
        <v>0</v>
      </c>
      <c r="O70">
        <v>0</v>
      </c>
      <c r="P70">
        <v>0.05</v>
      </c>
      <c r="Q70">
        <v>0.1</v>
      </c>
      <c r="R70">
        <v>2.6</v>
      </c>
      <c r="S70">
        <v>0</v>
      </c>
      <c r="T70">
        <v>25</v>
      </c>
      <c r="U70">
        <v>0.1</v>
      </c>
      <c r="V70">
        <v>0.4</v>
      </c>
      <c r="W70">
        <v>27</v>
      </c>
      <c r="X70">
        <v>38</v>
      </c>
      <c r="Y70">
        <v>1</v>
      </c>
      <c r="Z70">
        <v>0.6</v>
      </c>
      <c r="AA70">
        <v>100</v>
      </c>
      <c r="AB70" t="s">
        <v>1256</v>
      </c>
    </row>
    <row r="71" spans="1:28" x14ac:dyDescent="0.2">
      <c r="A71">
        <v>160</v>
      </c>
      <c r="B71" t="s">
        <v>337</v>
      </c>
      <c r="C71" t="s">
        <v>1127</v>
      </c>
      <c r="D71" t="s">
        <v>1066</v>
      </c>
      <c r="E71" t="s">
        <v>31</v>
      </c>
      <c r="F71" t="s">
        <v>1247</v>
      </c>
      <c r="G71">
        <v>10</v>
      </c>
      <c r="H71">
        <v>154</v>
      </c>
      <c r="I71">
        <v>12.4</v>
      </c>
      <c r="J71">
        <v>10.8</v>
      </c>
      <c r="K71">
        <v>0.7</v>
      </c>
      <c r="L71">
        <v>0</v>
      </c>
      <c r="M71">
        <v>0.8</v>
      </c>
      <c r="N71">
        <v>61</v>
      </c>
      <c r="O71">
        <v>22</v>
      </c>
      <c r="P71">
        <v>0.12</v>
      </c>
      <c r="Q71">
        <v>0.38</v>
      </c>
      <c r="R71">
        <v>0.2</v>
      </c>
      <c r="S71">
        <v>0</v>
      </c>
      <c r="T71">
        <v>86</v>
      </c>
      <c r="U71">
        <v>0.16</v>
      </c>
      <c r="V71">
        <v>3</v>
      </c>
      <c r="W71">
        <v>258</v>
      </c>
      <c r="X71">
        <v>118.5</v>
      </c>
      <c r="Y71">
        <v>142</v>
      </c>
      <c r="Z71">
        <v>1</v>
      </c>
      <c r="AA71">
        <v>89</v>
      </c>
      <c r="AB71" t="s">
        <v>1248</v>
      </c>
    </row>
    <row r="72" spans="1:28" x14ac:dyDescent="0.2">
      <c r="A72">
        <v>160</v>
      </c>
      <c r="B72" t="s">
        <v>337</v>
      </c>
      <c r="C72" t="s">
        <v>1127</v>
      </c>
      <c r="D72" t="s">
        <v>476</v>
      </c>
      <c r="E72" t="s">
        <v>31</v>
      </c>
      <c r="F72" t="s">
        <v>1197</v>
      </c>
      <c r="G72">
        <v>6</v>
      </c>
      <c r="H72">
        <v>884</v>
      </c>
      <c r="I72">
        <v>0</v>
      </c>
      <c r="J72">
        <v>100</v>
      </c>
      <c r="K72">
        <v>0</v>
      </c>
      <c r="L72">
        <v>0</v>
      </c>
      <c r="M72">
        <v>0</v>
      </c>
      <c r="O72">
        <v>18181</v>
      </c>
      <c r="P72">
        <v>0</v>
      </c>
      <c r="Q72">
        <v>0</v>
      </c>
      <c r="R72">
        <v>0</v>
      </c>
      <c r="S72">
        <v>0</v>
      </c>
      <c r="T72">
        <v>0</v>
      </c>
      <c r="U72">
        <v>0</v>
      </c>
      <c r="V72">
        <v>0</v>
      </c>
      <c r="W72">
        <v>0</v>
      </c>
      <c r="X72">
        <v>0</v>
      </c>
      <c r="Y72">
        <v>0</v>
      </c>
      <c r="Z72">
        <v>0</v>
      </c>
      <c r="AA72">
        <v>100</v>
      </c>
      <c r="AB72" t="s">
        <v>1257</v>
      </c>
    </row>
    <row r="73" spans="1:28" x14ac:dyDescent="0.2">
      <c r="A73">
        <v>160</v>
      </c>
      <c r="B73" t="s">
        <v>337</v>
      </c>
      <c r="C73" t="s">
        <v>1127</v>
      </c>
      <c r="D73" t="s">
        <v>449</v>
      </c>
      <c r="E73" t="s">
        <v>31</v>
      </c>
      <c r="F73" t="s">
        <v>1173</v>
      </c>
      <c r="G73">
        <v>5</v>
      </c>
      <c r="H73">
        <v>46</v>
      </c>
      <c r="I73">
        <v>1.5</v>
      </c>
      <c r="J73">
        <v>0.3</v>
      </c>
      <c r="K73">
        <v>9.1999999999999993</v>
      </c>
      <c r="L73">
        <v>1.7</v>
      </c>
      <c r="M73">
        <v>1</v>
      </c>
      <c r="O73">
        <v>2</v>
      </c>
      <c r="P73">
        <v>0.03</v>
      </c>
      <c r="Q73">
        <v>0.04</v>
      </c>
      <c r="R73">
        <v>0.2</v>
      </c>
      <c r="S73">
        <v>2</v>
      </c>
      <c r="T73">
        <v>36</v>
      </c>
      <c r="U73">
        <v>0.06</v>
      </c>
      <c r="V73">
        <v>0.8</v>
      </c>
      <c r="W73">
        <v>40</v>
      </c>
      <c r="X73">
        <v>178.6</v>
      </c>
      <c r="Y73">
        <v>7</v>
      </c>
      <c r="Z73">
        <v>0.2</v>
      </c>
      <c r="AA73">
        <v>90</v>
      </c>
      <c r="AB73" t="s">
        <v>1200</v>
      </c>
    </row>
    <row r="74" spans="1:28" x14ac:dyDescent="0.2">
      <c r="A74">
        <v>160</v>
      </c>
      <c r="B74" t="s">
        <v>337</v>
      </c>
      <c r="C74" t="s">
        <v>1127</v>
      </c>
      <c r="D74" t="s">
        <v>450</v>
      </c>
      <c r="E74" t="s">
        <v>31</v>
      </c>
      <c r="F74" t="s">
        <v>1175</v>
      </c>
      <c r="G74">
        <v>2</v>
      </c>
      <c r="H74">
        <v>112</v>
      </c>
      <c r="I74">
        <v>4.5</v>
      </c>
      <c r="J74">
        <v>0.2</v>
      </c>
      <c r="K74">
        <v>23.1</v>
      </c>
      <c r="L74">
        <v>0.6</v>
      </c>
      <c r="M74">
        <v>1.8</v>
      </c>
      <c r="O74">
        <v>0</v>
      </c>
      <c r="P74">
        <v>0.22</v>
      </c>
      <c r="Q74">
        <v>7.0000000000000007E-2</v>
      </c>
      <c r="R74">
        <v>0.3</v>
      </c>
      <c r="S74">
        <v>15</v>
      </c>
      <c r="T74">
        <v>42</v>
      </c>
      <c r="U74">
        <v>0.09</v>
      </c>
      <c r="V74">
        <v>1</v>
      </c>
      <c r="W74">
        <v>134</v>
      </c>
      <c r="X74">
        <v>665.7</v>
      </c>
      <c r="Y74">
        <v>46</v>
      </c>
      <c r="Z74">
        <v>0.4</v>
      </c>
      <c r="AA74">
        <v>88</v>
      </c>
      <c r="AB74" t="s">
        <v>1199</v>
      </c>
    </row>
    <row r="75" spans="1:28" x14ac:dyDescent="0.2">
      <c r="A75">
        <v>160</v>
      </c>
      <c r="B75" t="s">
        <v>337</v>
      </c>
      <c r="C75" t="s">
        <v>1127</v>
      </c>
      <c r="D75" t="s">
        <v>451</v>
      </c>
      <c r="E75" t="s">
        <v>31</v>
      </c>
      <c r="F75" t="s">
        <v>1180</v>
      </c>
      <c r="G75">
        <v>3</v>
      </c>
      <c r="H75">
        <v>36</v>
      </c>
      <c r="I75">
        <v>1</v>
      </c>
      <c r="J75">
        <v>0.3</v>
      </c>
      <c r="K75">
        <v>7.3</v>
      </c>
      <c r="L75">
        <v>1.4</v>
      </c>
      <c r="M75">
        <v>0.5</v>
      </c>
      <c r="O75">
        <v>5833</v>
      </c>
      <c r="P75">
        <v>0.05</v>
      </c>
      <c r="Q75">
        <v>0.09</v>
      </c>
      <c r="R75">
        <v>3</v>
      </c>
      <c r="S75">
        <v>18</v>
      </c>
      <c r="T75">
        <v>29</v>
      </c>
      <c r="U75">
        <v>0.12</v>
      </c>
      <c r="V75">
        <v>0.5</v>
      </c>
      <c r="W75">
        <v>24</v>
      </c>
      <c r="X75">
        <v>272.39999999999998</v>
      </c>
      <c r="Y75">
        <v>23</v>
      </c>
      <c r="Z75">
        <v>0.2</v>
      </c>
      <c r="AA75">
        <v>85</v>
      </c>
      <c r="AB75" t="s">
        <v>1191</v>
      </c>
    </row>
    <row r="76" spans="1:28" x14ac:dyDescent="0.2">
      <c r="A76">
        <v>160</v>
      </c>
      <c r="B76" t="s">
        <v>337</v>
      </c>
      <c r="C76" t="s">
        <v>1127</v>
      </c>
      <c r="D76" t="s">
        <v>1130</v>
      </c>
      <c r="E76" t="s">
        <v>31</v>
      </c>
      <c r="F76" t="s">
        <v>1131</v>
      </c>
      <c r="G76">
        <v>5</v>
      </c>
      <c r="H76">
        <v>51</v>
      </c>
      <c r="I76">
        <v>2.5</v>
      </c>
      <c r="J76">
        <v>1.1000000000000001</v>
      </c>
      <c r="K76">
        <v>8</v>
      </c>
      <c r="L76">
        <v>3.4</v>
      </c>
      <c r="M76">
        <v>2.2000000000000002</v>
      </c>
      <c r="O76">
        <v>9999</v>
      </c>
      <c r="P76">
        <v>0.4</v>
      </c>
      <c r="Q76">
        <v>0.1</v>
      </c>
      <c r="R76">
        <v>0.2</v>
      </c>
      <c r="S76">
        <v>16</v>
      </c>
      <c r="T76">
        <v>100</v>
      </c>
      <c r="U76">
        <v>0.9</v>
      </c>
      <c r="V76">
        <v>3.4</v>
      </c>
      <c r="W76">
        <v>50</v>
      </c>
      <c r="X76">
        <v>100</v>
      </c>
      <c r="Y76">
        <v>50</v>
      </c>
      <c r="Z76">
        <v>0.6</v>
      </c>
      <c r="AA76">
        <v>75</v>
      </c>
      <c r="AB76" t="s">
        <v>1132</v>
      </c>
    </row>
    <row r="77" spans="1:28" x14ac:dyDescent="0.2">
      <c r="A77">
        <v>160</v>
      </c>
      <c r="B77" t="s">
        <v>337</v>
      </c>
      <c r="C77" t="s">
        <v>1127</v>
      </c>
      <c r="D77" t="s">
        <v>1192</v>
      </c>
      <c r="E77" t="s">
        <v>31</v>
      </c>
      <c r="F77" t="s">
        <v>1193</v>
      </c>
      <c r="G77">
        <v>3</v>
      </c>
      <c r="H77">
        <v>24</v>
      </c>
      <c r="I77">
        <v>1.3</v>
      </c>
      <c r="J77">
        <v>0.5</v>
      </c>
      <c r="K77">
        <v>4.7</v>
      </c>
      <c r="L77">
        <v>1.5</v>
      </c>
      <c r="M77">
        <v>0.6</v>
      </c>
      <c r="O77">
        <v>575</v>
      </c>
      <c r="P77">
        <v>0.06</v>
      </c>
      <c r="Q77">
        <v>7.0000000000000007E-2</v>
      </c>
      <c r="R77">
        <v>0.4</v>
      </c>
      <c r="S77">
        <v>34</v>
      </c>
      <c r="T77">
        <v>8</v>
      </c>
      <c r="U77">
        <v>0.14000000000000001</v>
      </c>
      <c r="V77">
        <v>0.6</v>
      </c>
      <c r="W77">
        <v>77</v>
      </c>
      <c r="X77">
        <v>164.9</v>
      </c>
      <c r="Y77">
        <v>9.8000000000000007</v>
      </c>
      <c r="Z77">
        <v>0.2</v>
      </c>
      <c r="AA77">
        <v>100</v>
      </c>
      <c r="AB77" t="s">
        <v>1194</v>
      </c>
    </row>
    <row r="78" spans="1:28" x14ac:dyDescent="0.2">
      <c r="A78">
        <v>160</v>
      </c>
      <c r="B78" t="s">
        <v>337</v>
      </c>
      <c r="C78" t="s">
        <v>1127</v>
      </c>
      <c r="D78" t="s">
        <v>1217</v>
      </c>
      <c r="E78" t="s">
        <v>31</v>
      </c>
      <c r="F78" t="s">
        <v>1218</v>
      </c>
      <c r="G78">
        <v>1</v>
      </c>
      <c r="H78">
        <v>386</v>
      </c>
      <c r="I78">
        <v>3</v>
      </c>
      <c r="J78">
        <v>10</v>
      </c>
      <c r="K78">
        <v>76</v>
      </c>
      <c r="L78">
        <v>0</v>
      </c>
      <c r="M78">
        <v>1</v>
      </c>
      <c r="N78">
        <v>0</v>
      </c>
      <c r="O78">
        <v>0</v>
      </c>
      <c r="P78">
        <v>0</v>
      </c>
      <c r="Q78">
        <v>0.34</v>
      </c>
      <c r="R78">
        <v>0.5</v>
      </c>
      <c r="S78">
        <v>0</v>
      </c>
      <c r="T78">
        <v>76</v>
      </c>
      <c r="U78">
        <v>0</v>
      </c>
      <c r="V78">
        <v>2.6</v>
      </c>
      <c r="W78">
        <v>37</v>
      </c>
      <c r="X78">
        <v>0</v>
      </c>
      <c r="Y78">
        <v>2</v>
      </c>
      <c r="Z78">
        <v>0</v>
      </c>
      <c r="AA78">
        <v>100</v>
      </c>
      <c r="AB78" t="s">
        <v>1258</v>
      </c>
    </row>
    <row r="79" spans="1:28" x14ac:dyDescent="0.2">
      <c r="A79">
        <v>160</v>
      </c>
      <c r="B79" t="s">
        <v>337</v>
      </c>
      <c r="C79" t="s">
        <v>1127</v>
      </c>
      <c r="D79" t="s">
        <v>1201</v>
      </c>
      <c r="E79" t="s">
        <v>285</v>
      </c>
      <c r="F79" t="s">
        <v>1202</v>
      </c>
      <c r="G79">
        <v>1</v>
      </c>
      <c r="H79">
        <v>0</v>
      </c>
      <c r="I79">
        <v>0</v>
      </c>
      <c r="J79">
        <v>0</v>
      </c>
      <c r="K79">
        <v>0</v>
      </c>
      <c r="L79">
        <v>0</v>
      </c>
      <c r="M79">
        <v>99</v>
      </c>
      <c r="N79">
        <v>0</v>
      </c>
      <c r="O79">
        <v>0</v>
      </c>
      <c r="P79">
        <v>0</v>
      </c>
      <c r="Q79">
        <v>0</v>
      </c>
      <c r="R79">
        <v>0</v>
      </c>
      <c r="S79">
        <v>0</v>
      </c>
      <c r="T79">
        <v>50</v>
      </c>
      <c r="U79">
        <v>0</v>
      </c>
      <c r="V79">
        <v>0</v>
      </c>
      <c r="W79">
        <v>0</v>
      </c>
      <c r="X79">
        <v>2</v>
      </c>
      <c r="Y79">
        <v>38700</v>
      </c>
      <c r="Z79">
        <v>0</v>
      </c>
      <c r="AA79">
        <v>100</v>
      </c>
      <c r="AB79" t="s">
        <v>1203</v>
      </c>
    </row>
    <row r="80" spans="1:28" x14ac:dyDescent="0.2">
      <c r="A80" s="5">
        <v>160</v>
      </c>
      <c r="B80" s="5" t="s">
        <v>337</v>
      </c>
      <c r="C80" s="5" t="s">
        <v>1127</v>
      </c>
      <c r="D80" s="5"/>
      <c r="E80" s="5" t="s">
        <v>1151</v>
      </c>
      <c r="F80" s="5" t="s">
        <v>1152</v>
      </c>
      <c r="G80" s="5">
        <f>SUM(G70:G79)</f>
        <v>100</v>
      </c>
      <c r="H80" s="5">
        <f t="shared" ref="H80:AA80" si="6">SUMPRODUCT($G$70:$G$79/100,H70:H79)</f>
        <v>196.39000000000004</v>
      </c>
      <c r="I80" s="5">
        <f t="shared" si="6"/>
        <v>3.5489999999999999</v>
      </c>
      <c r="J80" s="5">
        <f t="shared" si="6"/>
        <v>7.4699999999999989</v>
      </c>
      <c r="K80" s="5">
        <f t="shared" si="6"/>
        <v>27.983999999999998</v>
      </c>
      <c r="L80" s="5">
        <f t="shared" si="6"/>
        <v>0.48200000000000004</v>
      </c>
      <c r="M80" s="5">
        <f t="shared" si="6"/>
        <v>1.4370000000000001</v>
      </c>
      <c r="N80" s="5">
        <f t="shared" si="6"/>
        <v>6.1000000000000005</v>
      </c>
      <c r="O80" s="5">
        <f t="shared" si="6"/>
        <v>1785.35</v>
      </c>
      <c r="P80" s="5">
        <f t="shared" si="6"/>
        <v>7.3200000000000001E-2</v>
      </c>
      <c r="Q80" s="5">
        <f t="shared" si="6"/>
        <v>0.11860000000000001</v>
      </c>
      <c r="R80" s="5">
        <f t="shared" si="6"/>
        <v>1.8170000000000002</v>
      </c>
      <c r="S80" s="5">
        <f t="shared" si="6"/>
        <v>2.7600000000000002</v>
      </c>
      <c r="T80" s="5">
        <f t="shared" si="6"/>
        <v>34.61</v>
      </c>
      <c r="U80" s="5">
        <f t="shared" si="6"/>
        <v>0.13760000000000003</v>
      </c>
      <c r="V80" s="5">
        <f t="shared" si="6"/>
        <v>0.8450000000000002</v>
      </c>
      <c r="W80" s="5">
        <f t="shared" si="6"/>
        <v>53.66</v>
      </c>
      <c r="X80" s="5">
        <f t="shared" si="6"/>
        <v>76.552999999999997</v>
      </c>
      <c r="Y80" s="5">
        <f t="shared" si="6"/>
        <v>406.61400000000003</v>
      </c>
      <c r="Z80" s="5">
        <f t="shared" si="6"/>
        <v>0.54400000000000004</v>
      </c>
      <c r="AA80" s="5">
        <f t="shared" si="6"/>
        <v>96.460000000000008</v>
      </c>
      <c r="AB80" s="6" t="s">
        <v>1259</v>
      </c>
    </row>
    <row r="81" spans="1:28" x14ac:dyDescent="0.2">
      <c r="A81">
        <v>162</v>
      </c>
      <c r="B81" t="s">
        <v>341</v>
      </c>
      <c r="C81" t="s">
        <v>1127</v>
      </c>
      <c r="D81" t="s">
        <v>1111</v>
      </c>
      <c r="E81" t="s">
        <v>31</v>
      </c>
      <c r="F81" t="s">
        <v>1231</v>
      </c>
      <c r="G81">
        <v>40</v>
      </c>
      <c r="H81">
        <v>180</v>
      </c>
      <c r="I81">
        <v>3</v>
      </c>
      <c r="J81">
        <v>0.3</v>
      </c>
      <c r="K81">
        <v>39.799999999999997</v>
      </c>
      <c r="L81">
        <v>0.2</v>
      </c>
      <c r="M81">
        <v>0.2</v>
      </c>
      <c r="N81">
        <v>0</v>
      </c>
      <c r="O81">
        <v>0</v>
      </c>
      <c r="P81">
        <v>0.05</v>
      </c>
      <c r="Q81">
        <v>0.1</v>
      </c>
      <c r="R81">
        <v>2.6</v>
      </c>
      <c r="S81">
        <v>0</v>
      </c>
      <c r="T81">
        <v>25</v>
      </c>
      <c r="U81">
        <v>0.1</v>
      </c>
      <c r="V81">
        <v>0.4</v>
      </c>
      <c r="W81">
        <v>27</v>
      </c>
      <c r="X81">
        <v>38</v>
      </c>
      <c r="Y81">
        <v>1</v>
      </c>
      <c r="Z81">
        <v>0.6</v>
      </c>
      <c r="AA81">
        <v>100</v>
      </c>
      <c r="AB81" t="s">
        <v>1584</v>
      </c>
    </row>
    <row r="82" spans="1:28" x14ac:dyDescent="0.2">
      <c r="A82">
        <v>162</v>
      </c>
      <c r="B82" t="s">
        <v>341</v>
      </c>
      <c r="C82" t="s">
        <v>1127</v>
      </c>
      <c r="D82" t="s">
        <v>1170</v>
      </c>
      <c r="E82" t="s">
        <v>31</v>
      </c>
      <c r="F82" t="s">
        <v>1171</v>
      </c>
      <c r="G82">
        <v>7</v>
      </c>
      <c r="H82">
        <v>324</v>
      </c>
      <c r="I82">
        <v>4.2</v>
      </c>
      <c r="J82">
        <v>34.299999999999997</v>
      </c>
      <c r="K82">
        <v>5.6</v>
      </c>
      <c r="L82">
        <v>0</v>
      </c>
      <c r="M82">
        <v>1</v>
      </c>
      <c r="N82">
        <v>0</v>
      </c>
      <c r="O82">
        <v>0</v>
      </c>
      <c r="P82">
        <v>0.02</v>
      </c>
      <c r="Q82">
        <v>0</v>
      </c>
      <c r="R82">
        <v>0.5</v>
      </c>
      <c r="S82">
        <v>2</v>
      </c>
      <c r="T82">
        <v>14</v>
      </c>
      <c r="U82">
        <v>0.37</v>
      </c>
      <c r="V82">
        <v>1.9</v>
      </c>
      <c r="W82">
        <v>45</v>
      </c>
      <c r="X82">
        <v>514.1</v>
      </c>
      <c r="Y82">
        <v>18</v>
      </c>
      <c r="Z82">
        <v>0.9</v>
      </c>
      <c r="AA82">
        <v>100</v>
      </c>
      <c r="AB82" t="s">
        <v>1260</v>
      </c>
    </row>
    <row r="83" spans="1:28" x14ac:dyDescent="0.2">
      <c r="A83">
        <v>162</v>
      </c>
      <c r="B83" t="s">
        <v>341</v>
      </c>
      <c r="C83" t="s">
        <v>1127</v>
      </c>
      <c r="D83" t="s">
        <v>1227</v>
      </c>
      <c r="E83" t="s">
        <v>285</v>
      </c>
      <c r="F83" t="s">
        <v>1228</v>
      </c>
      <c r="G83">
        <v>19</v>
      </c>
      <c r="H83">
        <v>0</v>
      </c>
      <c r="I83">
        <v>0</v>
      </c>
      <c r="J83">
        <v>0</v>
      </c>
      <c r="K83">
        <v>0</v>
      </c>
      <c r="L83">
        <v>0</v>
      </c>
      <c r="M83">
        <v>7.0000000000000007E-2</v>
      </c>
      <c r="N83">
        <v>0</v>
      </c>
      <c r="O83">
        <v>0</v>
      </c>
      <c r="P83">
        <v>0</v>
      </c>
      <c r="Q83">
        <v>0</v>
      </c>
      <c r="R83">
        <v>0</v>
      </c>
      <c r="S83">
        <v>0</v>
      </c>
      <c r="T83">
        <v>10</v>
      </c>
      <c r="U83">
        <v>7.0000000000000001E-3</v>
      </c>
      <c r="V83">
        <v>0</v>
      </c>
      <c r="W83">
        <v>0</v>
      </c>
      <c r="X83">
        <v>0</v>
      </c>
      <c r="Y83">
        <v>2</v>
      </c>
      <c r="Z83">
        <v>0</v>
      </c>
      <c r="AA83">
        <v>100</v>
      </c>
      <c r="AB83" t="s">
        <v>1229</v>
      </c>
    </row>
    <row r="84" spans="1:28" x14ac:dyDescent="0.2">
      <c r="A84">
        <v>162</v>
      </c>
      <c r="B84" t="s">
        <v>341</v>
      </c>
      <c r="C84" t="s">
        <v>1127</v>
      </c>
      <c r="D84" t="s">
        <v>1066</v>
      </c>
      <c r="E84" t="s">
        <v>31</v>
      </c>
      <c r="F84" t="s">
        <v>1247</v>
      </c>
      <c r="G84">
        <v>10</v>
      </c>
      <c r="H84">
        <v>154</v>
      </c>
      <c r="I84">
        <v>12.4</v>
      </c>
      <c r="J84">
        <v>10.8</v>
      </c>
      <c r="K84">
        <v>0.7</v>
      </c>
      <c r="L84">
        <v>0</v>
      </c>
      <c r="M84">
        <v>0.8</v>
      </c>
      <c r="N84">
        <v>61</v>
      </c>
      <c r="O84">
        <v>22</v>
      </c>
      <c r="P84">
        <v>0.12</v>
      </c>
      <c r="Q84">
        <v>0.38</v>
      </c>
      <c r="R84">
        <v>0.2</v>
      </c>
      <c r="S84">
        <v>0</v>
      </c>
      <c r="T84">
        <v>86</v>
      </c>
      <c r="U84">
        <v>0.16</v>
      </c>
      <c r="V84">
        <v>3</v>
      </c>
      <c r="W84">
        <v>258</v>
      </c>
      <c r="X84">
        <v>118.5</v>
      </c>
      <c r="Y84">
        <v>142</v>
      </c>
      <c r="Z84">
        <v>1</v>
      </c>
      <c r="AA84">
        <v>89</v>
      </c>
      <c r="AB84" t="s">
        <v>1261</v>
      </c>
    </row>
    <row r="85" spans="1:28" x14ac:dyDescent="0.2">
      <c r="A85">
        <v>162</v>
      </c>
      <c r="B85" t="s">
        <v>341</v>
      </c>
      <c r="C85" t="s">
        <v>1127</v>
      </c>
      <c r="D85" t="s">
        <v>1156</v>
      </c>
      <c r="E85" t="s">
        <v>31</v>
      </c>
      <c r="F85" t="s">
        <v>1157</v>
      </c>
      <c r="G85">
        <v>7</v>
      </c>
      <c r="H85">
        <v>30</v>
      </c>
      <c r="I85">
        <v>0.6</v>
      </c>
      <c r="J85">
        <v>0.1</v>
      </c>
      <c r="K85">
        <v>6.7</v>
      </c>
      <c r="L85">
        <v>6.2</v>
      </c>
      <c r="M85">
        <v>0.3</v>
      </c>
      <c r="O85">
        <v>48</v>
      </c>
      <c r="P85">
        <v>0.02</v>
      </c>
      <c r="Q85">
        <v>0</v>
      </c>
      <c r="R85">
        <v>0.6</v>
      </c>
      <c r="S85">
        <v>18</v>
      </c>
      <c r="T85">
        <v>14</v>
      </c>
      <c r="U85">
        <v>0.16</v>
      </c>
      <c r="V85">
        <v>0.5</v>
      </c>
      <c r="W85">
        <v>25</v>
      </c>
      <c r="X85">
        <v>167.1</v>
      </c>
      <c r="Y85">
        <v>2.7</v>
      </c>
      <c r="Z85">
        <v>1</v>
      </c>
      <c r="AA85">
        <v>83</v>
      </c>
      <c r="AB85" t="s">
        <v>1262</v>
      </c>
    </row>
    <row r="86" spans="1:28" x14ac:dyDescent="0.2">
      <c r="A86">
        <v>162</v>
      </c>
      <c r="B86" t="s">
        <v>341</v>
      </c>
      <c r="C86" t="s">
        <v>1127</v>
      </c>
      <c r="D86" t="s">
        <v>1077</v>
      </c>
      <c r="E86" t="s">
        <v>31</v>
      </c>
      <c r="F86" t="s">
        <v>1154</v>
      </c>
      <c r="G86">
        <v>4</v>
      </c>
      <c r="H86">
        <v>31</v>
      </c>
      <c r="I86">
        <v>2.2999999999999998</v>
      </c>
      <c r="J86">
        <v>0.1</v>
      </c>
      <c r="K86">
        <v>5.3</v>
      </c>
      <c r="L86">
        <v>2.7</v>
      </c>
      <c r="M86">
        <v>0.5</v>
      </c>
      <c r="N86">
        <v>0</v>
      </c>
      <c r="O86">
        <v>125</v>
      </c>
      <c r="P86">
        <v>0.7</v>
      </c>
      <c r="Q86">
        <v>0.1</v>
      </c>
      <c r="R86">
        <v>0.3</v>
      </c>
      <c r="S86">
        <v>46</v>
      </c>
      <c r="T86">
        <v>60</v>
      </c>
      <c r="U86">
        <v>0.1</v>
      </c>
      <c r="V86">
        <v>0.6</v>
      </c>
      <c r="W86">
        <v>64</v>
      </c>
      <c r="X86">
        <v>213</v>
      </c>
      <c r="Y86">
        <v>30</v>
      </c>
      <c r="Z86">
        <v>0.5</v>
      </c>
      <c r="AA86">
        <v>92</v>
      </c>
      <c r="AB86" t="s">
        <v>1243</v>
      </c>
    </row>
    <row r="87" spans="1:28" x14ac:dyDescent="0.2">
      <c r="A87">
        <v>162</v>
      </c>
      <c r="B87" t="s">
        <v>341</v>
      </c>
      <c r="C87" t="s">
        <v>1127</v>
      </c>
      <c r="D87" t="s">
        <v>441</v>
      </c>
      <c r="E87" t="s">
        <v>31</v>
      </c>
      <c r="F87" t="s">
        <v>1165</v>
      </c>
      <c r="G87">
        <v>4</v>
      </c>
      <c r="H87">
        <v>57</v>
      </c>
      <c r="I87">
        <v>2</v>
      </c>
      <c r="J87">
        <v>0.4</v>
      </c>
      <c r="K87">
        <v>11.3</v>
      </c>
      <c r="L87">
        <v>8.3000000000000007</v>
      </c>
      <c r="M87">
        <v>0.9</v>
      </c>
      <c r="O87">
        <v>21</v>
      </c>
      <c r="P87">
        <v>7.0000000000000007E-2</v>
      </c>
      <c r="Q87">
        <v>0.06</v>
      </c>
      <c r="R87">
        <v>0.7</v>
      </c>
      <c r="S87">
        <v>9</v>
      </c>
      <c r="T87">
        <v>45</v>
      </c>
      <c r="U87">
        <v>0.04</v>
      </c>
      <c r="V87">
        <v>0.5</v>
      </c>
      <c r="W87">
        <v>29</v>
      </c>
      <c r="X87">
        <v>246.5</v>
      </c>
      <c r="Y87">
        <v>1.1000000000000001</v>
      </c>
      <c r="Z87">
        <v>0.1</v>
      </c>
      <c r="AA87">
        <v>80</v>
      </c>
      <c r="AB87" t="s">
        <v>1263</v>
      </c>
    </row>
    <row r="88" spans="1:28" x14ac:dyDescent="0.2">
      <c r="A88">
        <v>162</v>
      </c>
      <c r="B88" t="s">
        <v>341</v>
      </c>
      <c r="C88" t="s">
        <v>1127</v>
      </c>
      <c r="D88" t="s">
        <v>476</v>
      </c>
      <c r="E88" t="s">
        <v>31</v>
      </c>
      <c r="F88" t="s">
        <v>1197</v>
      </c>
      <c r="G88">
        <v>2</v>
      </c>
      <c r="H88">
        <v>884</v>
      </c>
      <c r="I88">
        <v>0</v>
      </c>
      <c r="J88">
        <v>100</v>
      </c>
      <c r="K88">
        <v>0</v>
      </c>
      <c r="L88">
        <v>0</v>
      </c>
      <c r="M88">
        <v>0</v>
      </c>
      <c r="O88">
        <v>18181</v>
      </c>
      <c r="P88">
        <v>0</v>
      </c>
      <c r="Q88">
        <v>0</v>
      </c>
      <c r="R88">
        <v>0</v>
      </c>
      <c r="S88">
        <v>0</v>
      </c>
      <c r="T88">
        <v>0</v>
      </c>
      <c r="U88">
        <v>0</v>
      </c>
      <c r="V88">
        <v>0</v>
      </c>
      <c r="W88">
        <v>0</v>
      </c>
      <c r="X88">
        <v>0</v>
      </c>
      <c r="Y88">
        <v>0</v>
      </c>
      <c r="Z88">
        <v>0</v>
      </c>
      <c r="AA88">
        <v>100</v>
      </c>
      <c r="AB88" t="s">
        <v>1198</v>
      </c>
    </row>
    <row r="89" spans="1:28" x14ac:dyDescent="0.2">
      <c r="A89">
        <v>162</v>
      </c>
      <c r="B89" t="s">
        <v>341</v>
      </c>
      <c r="C89" t="s">
        <v>1127</v>
      </c>
      <c r="D89" t="s">
        <v>449</v>
      </c>
      <c r="E89" t="s">
        <v>31</v>
      </c>
      <c r="F89" t="s">
        <v>1173</v>
      </c>
      <c r="G89">
        <v>2</v>
      </c>
      <c r="H89">
        <v>46</v>
      </c>
      <c r="I89">
        <v>1.5</v>
      </c>
      <c r="J89">
        <v>0.3</v>
      </c>
      <c r="K89">
        <v>9.1999999999999993</v>
      </c>
      <c r="L89">
        <v>1.7</v>
      </c>
      <c r="M89">
        <v>1</v>
      </c>
      <c r="O89">
        <v>2</v>
      </c>
      <c r="P89">
        <v>0.03</v>
      </c>
      <c r="Q89">
        <v>0.04</v>
      </c>
      <c r="R89">
        <v>0.2</v>
      </c>
      <c r="S89">
        <v>2</v>
      </c>
      <c r="T89">
        <v>36</v>
      </c>
      <c r="U89">
        <v>0.06</v>
      </c>
      <c r="V89">
        <v>0.8</v>
      </c>
      <c r="W89">
        <v>40</v>
      </c>
      <c r="X89">
        <v>178.6</v>
      </c>
      <c r="Y89">
        <v>7</v>
      </c>
      <c r="Z89">
        <v>0.2</v>
      </c>
      <c r="AA89">
        <v>90</v>
      </c>
      <c r="AB89" t="s">
        <v>1200</v>
      </c>
    </row>
    <row r="90" spans="1:28" x14ac:dyDescent="0.2">
      <c r="A90">
        <v>162</v>
      </c>
      <c r="B90" t="s">
        <v>341</v>
      </c>
      <c r="C90" t="s">
        <v>1127</v>
      </c>
      <c r="D90" t="s">
        <v>450</v>
      </c>
      <c r="E90" t="s">
        <v>31</v>
      </c>
      <c r="F90" t="s">
        <v>1175</v>
      </c>
      <c r="G90">
        <v>1</v>
      </c>
      <c r="H90">
        <v>112</v>
      </c>
      <c r="I90">
        <v>4.5</v>
      </c>
      <c r="J90">
        <v>0.2</v>
      </c>
      <c r="K90">
        <v>23.1</v>
      </c>
      <c r="L90">
        <v>0.6</v>
      </c>
      <c r="M90">
        <v>1.8</v>
      </c>
      <c r="O90">
        <v>0</v>
      </c>
      <c r="P90">
        <v>0.22</v>
      </c>
      <c r="Q90">
        <v>7.0000000000000007E-2</v>
      </c>
      <c r="R90">
        <v>0.3</v>
      </c>
      <c r="S90">
        <v>15</v>
      </c>
      <c r="T90">
        <v>42</v>
      </c>
      <c r="U90">
        <v>0.09</v>
      </c>
      <c r="V90">
        <v>1</v>
      </c>
      <c r="W90">
        <v>134</v>
      </c>
      <c r="X90">
        <v>665.7</v>
      </c>
      <c r="Y90">
        <v>46</v>
      </c>
      <c r="Z90">
        <v>0.4</v>
      </c>
      <c r="AA90">
        <v>88</v>
      </c>
      <c r="AB90" t="s">
        <v>1199</v>
      </c>
    </row>
    <row r="91" spans="1:28" x14ac:dyDescent="0.2">
      <c r="A91">
        <v>162</v>
      </c>
      <c r="B91" t="s">
        <v>341</v>
      </c>
      <c r="C91" t="s">
        <v>1127</v>
      </c>
      <c r="D91" t="s">
        <v>451</v>
      </c>
      <c r="E91" t="s">
        <v>31</v>
      </c>
      <c r="F91" t="s">
        <v>1180</v>
      </c>
      <c r="G91">
        <v>1</v>
      </c>
      <c r="H91">
        <v>36</v>
      </c>
      <c r="I91">
        <v>1</v>
      </c>
      <c r="J91">
        <v>0.3</v>
      </c>
      <c r="K91">
        <v>7.3</v>
      </c>
      <c r="L91">
        <v>1.4</v>
      </c>
      <c r="M91">
        <v>0.5</v>
      </c>
      <c r="O91">
        <v>5833</v>
      </c>
      <c r="P91">
        <v>0.05</v>
      </c>
      <c r="Q91">
        <v>0.09</v>
      </c>
      <c r="R91">
        <v>3</v>
      </c>
      <c r="S91">
        <v>18</v>
      </c>
      <c r="T91">
        <v>29</v>
      </c>
      <c r="U91">
        <v>0.12</v>
      </c>
      <c r="V91">
        <v>0.5</v>
      </c>
      <c r="W91">
        <v>24</v>
      </c>
      <c r="X91">
        <v>272.39999999999998</v>
      </c>
      <c r="Y91">
        <v>23</v>
      </c>
      <c r="Z91">
        <v>0.2</v>
      </c>
      <c r="AA91">
        <v>85</v>
      </c>
      <c r="AB91" t="s">
        <v>1191</v>
      </c>
    </row>
    <row r="92" spans="1:28" x14ac:dyDescent="0.2">
      <c r="A92">
        <v>162</v>
      </c>
      <c r="B92" t="s">
        <v>341</v>
      </c>
      <c r="C92" t="s">
        <v>1127</v>
      </c>
      <c r="D92" t="s">
        <v>509</v>
      </c>
      <c r="E92" t="s">
        <v>31</v>
      </c>
      <c r="F92" t="s">
        <v>287</v>
      </c>
      <c r="G92">
        <v>1</v>
      </c>
      <c r="H92">
        <v>675</v>
      </c>
      <c r="I92">
        <v>19</v>
      </c>
      <c r="J92">
        <v>63</v>
      </c>
      <c r="K92">
        <v>8</v>
      </c>
      <c r="L92">
        <v>3</v>
      </c>
      <c r="M92">
        <v>3</v>
      </c>
      <c r="O92">
        <v>0</v>
      </c>
      <c r="P92">
        <v>0.06</v>
      </c>
      <c r="Q92">
        <v>0.06</v>
      </c>
      <c r="R92">
        <v>0.4</v>
      </c>
      <c r="S92">
        <v>0</v>
      </c>
      <c r="T92">
        <v>80</v>
      </c>
      <c r="U92">
        <v>0.23</v>
      </c>
      <c r="V92">
        <v>2</v>
      </c>
      <c r="W92">
        <v>200</v>
      </c>
      <c r="X92">
        <v>430.7</v>
      </c>
      <c r="Y92">
        <v>25</v>
      </c>
      <c r="Z92">
        <v>0.8</v>
      </c>
      <c r="AA92">
        <v>100</v>
      </c>
      <c r="AB92" t="s">
        <v>1264</v>
      </c>
    </row>
    <row r="93" spans="1:28" x14ac:dyDescent="0.2">
      <c r="A93">
        <v>162</v>
      </c>
      <c r="B93" t="s">
        <v>341</v>
      </c>
      <c r="C93" t="s">
        <v>1127</v>
      </c>
      <c r="D93" t="s">
        <v>1265</v>
      </c>
      <c r="E93" t="s">
        <v>31</v>
      </c>
      <c r="F93" t="s">
        <v>1266</v>
      </c>
      <c r="G93">
        <v>1</v>
      </c>
      <c r="H93">
        <v>69</v>
      </c>
      <c r="I93">
        <v>2</v>
      </c>
      <c r="J93">
        <v>2.7</v>
      </c>
      <c r="K93">
        <v>9.1</v>
      </c>
      <c r="L93">
        <v>0.6</v>
      </c>
      <c r="M93">
        <v>1.3</v>
      </c>
      <c r="O93">
        <v>12</v>
      </c>
      <c r="P93">
        <v>0.03</v>
      </c>
      <c r="Q93">
        <v>0.02</v>
      </c>
      <c r="R93">
        <v>0.4</v>
      </c>
      <c r="S93">
        <v>1</v>
      </c>
      <c r="T93">
        <v>24</v>
      </c>
      <c r="U93">
        <v>0.05</v>
      </c>
      <c r="V93">
        <v>3.3</v>
      </c>
      <c r="W93">
        <v>78</v>
      </c>
      <c r="X93">
        <v>406.7</v>
      </c>
      <c r="Y93">
        <v>6</v>
      </c>
      <c r="Z93">
        <v>0.4</v>
      </c>
      <c r="AA93">
        <v>78</v>
      </c>
      <c r="AB93" t="s">
        <v>1267</v>
      </c>
    </row>
    <row r="94" spans="1:28" x14ac:dyDescent="0.2">
      <c r="A94">
        <v>162</v>
      </c>
      <c r="B94" t="s">
        <v>341</v>
      </c>
      <c r="C94" t="s">
        <v>1127</v>
      </c>
      <c r="D94" t="s">
        <v>1201</v>
      </c>
      <c r="E94" t="s">
        <v>285</v>
      </c>
      <c r="F94" t="s">
        <v>1202</v>
      </c>
      <c r="G94">
        <v>1</v>
      </c>
      <c r="H94">
        <v>0</v>
      </c>
      <c r="I94">
        <v>0</v>
      </c>
      <c r="J94">
        <v>0</v>
      </c>
      <c r="K94">
        <v>0</v>
      </c>
      <c r="L94">
        <v>0</v>
      </c>
      <c r="M94">
        <v>99</v>
      </c>
      <c r="N94">
        <v>0</v>
      </c>
      <c r="O94">
        <v>0</v>
      </c>
      <c r="P94">
        <v>0</v>
      </c>
      <c r="Q94">
        <v>0</v>
      </c>
      <c r="R94">
        <v>0</v>
      </c>
      <c r="S94">
        <v>0</v>
      </c>
      <c r="T94">
        <v>50</v>
      </c>
      <c r="U94">
        <v>0</v>
      </c>
      <c r="V94">
        <v>0</v>
      </c>
      <c r="W94">
        <v>0</v>
      </c>
      <c r="X94">
        <v>2</v>
      </c>
      <c r="Y94">
        <v>38700</v>
      </c>
      <c r="Z94">
        <v>0</v>
      </c>
      <c r="AA94">
        <v>100</v>
      </c>
      <c r="AB94" t="s">
        <v>1203</v>
      </c>
    </row>
    <row r="95" spans="1:28" x14ac:dyDescent="0.2">
      <c r="A95" s="5">
        <v>162</v>
      </c>
      <c r="B95" s="5" t="s">
        <v>341</v>
      </c>
      <c r="C95" s="5" t="s">
        <v>1127</v>
      </c>
      <c r="D95" s="5"/>
      <c r="E95" s="5" t="s">
        <v>1151</v>
      </c>
      <c r="F95" s="5" t="s">
        <v>1152</v>
      </c>
      <c r="G95" s="5">
        <f>SUM(G81:G94)</f>
        <v>100</v>
      </c>
      <c r="H95" s="5">
        <f t="shared" ref="H95:AA95" si="7">SUMPRODUCT($G$81:$G$94/100,H81:H94)</f>
        <v>143.22</v>
      </c>
      <c r="I95" s="5">
        <f t="shared" si="7"/>
        <v>3.2429999999999999</v>
      </c>
      <c r="J95" s="5">
        <f t="shared" si="7"/>
        <v>6.2960000000000003</v>
      </c>
      <c r="K95" s="5">
        <f t="shared" si="7"/>
        <v>18.174000000000007</v>
      </c>
      <c r="L95" s="5">
        <f t="shared" si="7"/>
        <v>1.044</v>
      </c>
      <c r="M95" s="5">
        <f t="shared" si="7"/>
        <v>1.3963000000000001</v>
      </c>
      <c r="N95" s="5">
        <f t="shared" si="7"/>
        <v>6.1000000000000005</v>
      </c>
      <c r="O95" s="5">
        <f t="shared" si="7"/>
        <v>433.51</v>
      </c>
      <c r="P95" s="5">
        <f t="shared" si="7"/>
        <v>6.9799999999999987E-2</v>
      </c>
      <c r="Q95" s="5">
        <f t="shared" si="7"/>
        <v>8.7600000000000025E-2</v>
      </c>
      <c r="R95" s="5">
        <f t="shared" si="7"/>
        <v>1.222</v>
      </c>
      <c r="S95" s="5">
        <f t="shared" si="7"/>
        <v>3.98</v>
      </c>
      <c r="T95" s="5">
        <f t="shared" si="7"/>
        <v>29.63</v>
      </c>
      <c r="U95" s="5">
        <f t="shared" si="7"/>
        <v>0.10613000000000003</v>
      </c>
      <c r="V95" s="5">
        <f t="shared" si="7"/>
        <v>0.75600000000000023</v>
      </c>
      <c r="W95" s="5">
        <f t="shared" si="7"/>
        <v>50.38</v>
      </c>
      <c r="X95" s="5">
        <f t="shared" si="7"/>
        <v>114.461</v>
      </c>
      <c r="Y95" s="5">
        <f t="shared" si="7"/>
        <v>405.81299999999999</v>
      </c>
      <c r="Z95" s="5">
        <f t="shared" si="7"/>
        <v>0.51900000000000002</v>
      </c>
      <c r="AA95" s="5">
        <f t="shared" si="7"/>
        <v>95.9</v>
      </c>
      <c r="AB95" s="6" t="s">
        <v>1268</v>
      </c>
    </row>
    <row r="96" spans="1:28" x14ac:dyDescent="0.2">
      <c r="A96">
        <v>165</v>
      </c>
      <c r="B96" t="s">
        <v>347</v>
      </c>
      <c r="C96" t="s">
        <v>1127</v>
      </c>
      <c r="D96" t="s">
        <v>1061</v>
      </c>
      <c r="E96" t="s">
        <v>31</v>
      </c>
      <c r="F96" t="s">
        <v>1269</v>
      </c>
      <c r="G96">
        <v>14</v>
      </c>
      <c r="H96">
        <v>298</v>
      </c>
      <c r="I96">
        <v>18.2</v>
      </c>
      <c r="J96">
        <v>25</v>
      </c>
      <c r="K96">
        <v>0</v>
      </c>
      <c r="L96">
        <v>0</v>
      </c>
      <c r="M96">
        <v>0.9</v>
      </c>
      <c r="N96">
        <v>245</v>
      </c>
      <c r="O96">
        <v>0</v>
      </c>
      <c r="P96">
        <v>0.08</v>
      </c>
      <c r="Q96">
        <v>0.14000000000000001</v>
      </c>
      <c r="R96">
        <v>10.4</v>
      </c>
      <c r="S96">
        <v>0</v>
      </c>
      <c r="T96">
        <v>14</v>
      </c>
      <c r="U96">
        <v>0.11</v>
      </c>
      <c r="V96">
        <v>1.5</v>
      </c>
      <c r="W96">
        <v>200</v>
      </c>
      <c r="X96">
        <v>385.9</v>
      </c>
      <c r="Y96">
        <v>109</v>
      </c>
      <c r="Z96">
        <v>0.6</v>
      </c>
      <c r="AA96">
        <v>58</v>
      </c>
      <c r="AB96" t="s">
        <v>1270</v>
      </c>
    </row>
    <row r="97" spans="1:28" x14ac:dyDescent="0.2">
      <c r="A97">
        <v>165</v>
      </c>
      <c r="B97" t="s">
        <v>347</v>
      </c>
      <c r="C97" t="s">
        <v>1127</v>
      </c>
      <c r="D97" t="s">
        <v>1271</v>
      </c>
      <c r="E97" t="s">
        <v>31</v>
      </c>
      <c r="F97" t="s">
        <v>1272</v>
      </c>
      <c r="G97">
        <v>10</v>
      </c>
      <c r="H97">
        <v>149</v>
      </c>
      <c r="I97">
        <v>16.600000000000001</v>
      </c>
      <c r="J97">
        <v>9.1999999999999993</v>
      </c>
      <c r="K97">
        <v>0</v>
      </c>
      <c r="L97">
        <v>0</v>
      </c>
      <c r="M97">
        <v>3.9</v>
      </c>
      <c r="N97">
        <v>0</v>
      </c>
      <c r="O97">
        <v>0</v>
      </c>
      <c r="P97">
        <v>0.09</v>
      </c>
      <c r="Q97">
        <v>0.23</v>
      </c>
      <c r="R97">
        <v>5</v>
      </c>
      <c r="S97">
        <v>0</v>
      </c>
      <c r="T97">
        <v>11</v>
      </c>
      <c r="U97">
        <v>0.31</v>
      </c>
      <c r="V97">
        <v>1</v>
      </c>
      <c r="W97">
        <v>124</v>
      </c>
      <c r="X97">
        <v>268.7</v>
      </c>
      <c r="Y97">
        <v>96</v>
      </c>
      <c r="Z97">
        <v>4.9000000000000004</v>
      </c>
      <c r="AA97">
        <v>100</v>
      </c>
      <c r="AB97" t="s">
        <v>1273</v>
      </c>
    </row>
    <row r="98" spans="1:28" x14ac:dyDescent="0.2">
      <c r="A98">
        <v>165</v>
      </c>
      <c r="B98" t="s">
        <v>347</v>
      </c>
      <c r="C98" t="s">
        <v>1127</v>
      </c>
      <c r="D98" t="s">
        <v>1274</v>
      </c>
      <c r="E98" t="s">
        <v>31</v>
      </c>
      <c r="F98" t="s">
        <v>1275</v>
      </c>
      <c r="G98">
        <v>8</v>
      </c>
      <c r="H98">
        <v>201</v>
      </c>
      <c r="I98">
        <v>18.8</v>
      </c>
      <c r="J98">
        <v>14</v>
      </c>
      <c r="K98">
        <v>0</v>
      </c>
      <c r="L98">
        <v>0</v>
      </c>
      <c r="M98">
        <v>1.2</v>
      </c>
      <c r="N98">
        <v>9</v>
      </c>
      <c r="O98">
        <v>198</v>
      </c>
      <c r="P98">
        <v>0.08</v>
      </c>
      <c r="Q98">
        <v>0.56000000000000005</v>
      </c>
      <c r="R98">
        <v>1.3</v>
      </c>
      <c r="S98">
        <v>0</v>
      </c>
      <c r="T98">
        <v>11</v>
      </c>
      <c r="U98">
        <v>4.58</v>
      </c>
      <c r="V98">
        <v>2.8</v>
      </c>
      <c r="W98">
        <v>170</v>
      </c>
      <c r="X98">
        <v>378</v>
      </c>
      <c r="Y98">
        <v>105</v>
      </c>
      <c r="Z98">
        <v>5.2</v>
      </c>
      <c r="AA98">
        <v>100</v>
      </c>
      <c r="AB98" t="s">
        <v>1276</v>
      </c>
    </row>
    <row r="99" spans="1:28" x14ac:dyDescent="0.2">
      <c r="A99">
        <v>165</v>
      </c>
      <c r="B99" t="s">
        <v>347</v>
      </c>
      <c r="C99" t="s">
        <v>1127</v>
      </c>
      <c r="D99" t="s">
        <v>1249</v>
      </c>
      <c r="E99" t="s">
        <v>31</v>
      </c>
      <c r="F99" t="s">
        <v>1277</v>
      </c>
      <c r="G99">
        <v>6</v>
      </c>
      <c r="H99">
        <v>560</v>
      </c>
      <c r="I99">
        <v>29.5</v>
      </c>
      <c r="J99">
        <v>43</v>
      </c>
      <c r="K99">
        <v>24.1</v>
      </c>
      <c r="L99">
        <v>2.9</v>
      </c>
      <c r="M99">
        <v>2.2000000000000002</v>
      </c>
      <c r="O99">
        <v>0</v>
      </c>
      <c r="P99">
        <v>0.31</v>
      </c>
      <c r="Q99">
        <v>0.3</v>
      </c>
      <c r="R99">
        <v>15.5</v>
      </c>
      <c r="T99">
        <v>107</v>
      </c>
      <c r="U99">
        <v>1.69</v>
      </c>
      <c r="V99">
        <v>4.0999999999999996</v>
      </c>
      <c r="W99">
        <v>366</v>
      </c>
      <c r="X99">
        <v>509.8</v>
      </c>
      <c r="Y99">
        <v>34</v>
      </c>
      <c r="Z99">
        <v>2.1</v>
      </c>
      <c r="AA99">
        <v>100</v>
      </c>
      <c r="AB99" t="s">
        <v>1278</v>
      </c>
    </row>
    <row r="100" spans="1:28" x14ac:dyDescent="0.2">
      <c r="A100">
        <v>165</v>
      </c>
      <c r="B100" t="s">
        <v>347</v>
      </c>
      <c r="C100" t="s">
        <v>1127</v>
      </c>
      <c r="D100" t="s">
        <v>525</v>
      </c>
      <c r="E100" t="s">
        <v>31</v>
      </c>
      <c r="F100" t="s">
        <v>1279</v>
      </c>
      <c r="G100">
        <v>5</v>
      </c>
      <c r="H100">
        <v>71</v>
      </c>
      <c r="I100">
        <v>5.7</v>
      </c>
      <c r="J100">
        <v>1.3</v>
      </c>
      <c r="K100">
        <v>9</v>
      </c>
      <c r="L100">
        <v>0</v>
      </c>
      <c r="M100">
        <v>21</v>
      </c>
      <c r="N100">
        <v>0</v>
      </c>
      <c r="P100">
        <v>0</v>
      </c>
      <c r="S100">
        <v>0</v>
      </c>
      <c r="T100">
        <v>123</v>
      </c>
      <c r="U100">
        <v>0.04</v>
      </c>
      <c r="V100">
        <v>5.7</v>
      </c>
      <c r="W100">
        <v>96</v>
      </c>
      <c r="Y100">
        <v>1114</v>
      </c>
      <c r="AA100">
        <v>100</v>
      </c>
      <c r="AB100" t="s">
        <v>1280</v>
      </c>
    </row>
    <row r="101" spans="1:28" x14ac:dyDescent="0.2">
      <c r="A101">
        <v>165</v>
      </c>
      <c r="B101" t="s">
        <v>347</v>
      </c>
      <c r="C101" t="s">
        <v>1127</v>
      </c>
      <c r="D101" t="s">
        <v>1217</v>
      </c>
      <c r="E101" t="s">
        <v>31</v>
      </c>
      <c r="F101" t="s">
        <v>1281</v>
      </c>
      <c r="G101">
        <v>2</v>
      </c>
      <c r="H101">
        <v>386</v>
      </c>
      <c r="I101">
        <v>3</v>
      </c>
      <c r="J101">
        <v>10</v>
      </c>
      <c r="K101">
        <v>76</v>
      </c>
      <c r="L101">
        <v>0</v>
      </c>
      <c r="M101">
        <v>1</v>
      </c>
      <c r="N101">
        <v>0</v>
      </c>
      <c r="O101">
        <v>0</v>
      </c>
      <c r="P101">
        <v>0</v>
      </c>
      <c r="Q101">
        <v>0.34</v>
      </c>
      <c r="R101">
        <v>0.5</v>
      </c>
      <c r="S101">
        <v>0</v>
      </c>
      <c r="T101">
        <v>76</v>
      </c>
      <c r="U101">
        <v>0</v>
      </c>
      <c r="V101">
        <v>2.6</v>
      </c>
      <c r="W101">
        <v>37</v>
      </c>
      <c r="X101">
        <v>0</v>
      </c>
      <c r="Y101">
        <v>2</v>
      </c>
      <c r="Z101">
        <v>0</v>
      </c>
      <c r="AA101">
        <v>100</v>
      </c>
      <c r="AB101" t="s">
        <v>1225</v>
      </c>
    </row>
    <row r="102" spans="1:28" x14ac:dyDescent="0.2">
      <c r="A102">
        <v>165</v>
      </c>
      <c r="B102" t="s">
        <v>347</v>
      </c>
      <c r="C102" t="s">
        <v>1127</v>
      </c>
      <c r="D102" t="s">
        <v>449</v>
      </c>
      <c r="E102" t="s">
        <v>31</v>
      </c>
      <c r="F102" t="s">
        <v>1282</v>
      </c>
      <c r="G102">
        <v>2</v>
      </c>
      <c r="H102">
        <v>46</v>
      </c>
      <c r="I102">
        <v>1.5</v>
      </c>
      <c r="J102">
        <v>0.3</v>
      </c>
      <c r="K102">
        <v>9.1999999999999993</v>
      </c>
      <c r="L102">
        <v>1.7</v>
      </c>
      <c r="M102">
        <v>1</v>
      </c>
      <c r="O102">
        <v>2</v>
      </c>
      <c r="P102">
        <v>0.03</v>
      </c>
      <c r="Q102">
        <v>0.04</v>
      </c>
      <c r="R102">
        <v>0.2</v>
      </c>
      <c r="S102">
        <v>2</v>
      </c>
      <c r="T102">
        <v>36</v>
      </c>
      <c r="U102">
        <v>0.06</v>
      </c>
      <c r="V102">
        <v>0.8</v>
      </c>
      <c r="W102">
        <v>40</v>
      </c>
      <c r="X102">
        <v>178.6</v>
      </c>
      <c r="Y102">
        <v>7</v>
      </c>
      <c r="Z102">
        <v>0.2</v>
      </c>
      <c r="AA102">
        <v>90</v>
      </c>
      <c r="AB102" t="s">
        <v>1200</v>
      </c>
    </row>
    <row r="103" spans="1:28" x14ac:dyDescent="0.2">
      <c r="A103">
        <v>165</v>
      </c>
      <c r="B103" t="s">
        <v>347</v>
      </c>
      <c r="C103" t="s">
        <v>1127</v>
      </c>
      <c r="D103" t="s">
        <v>450</v>
      </c>
      <c r="E103" t="s">
        <v>31</v>
      </c>
      <c r="F103" t="s">
        <v>1283</v>
      </c>
      <c r="G103">
        <v>1</v>
      </c>
      <c r="H103">
        <v>112</v>
      </c>
      <c r="I103">
        <v>4.5</v>
      </c>
      <c r="J103">
        <v>0.2</v>
      </c>
      <c r="K103">
        <v>23.1</v>
      </c>
      <c r="L103">
        <v>0.6</v>
      </c>
      <c r="M103">
        <v>1.8</v>
      </c>
      <c r="O103">
        <v>0</v>
      </c>
      <c r="P103">
        <v>0.22</v>
      </c>
      <c r="Q103">
        <v>7.0000000000000007E-2</v>
      </c>
      <c r="R103">
        <v>0.3</v>
      </c>
      <c r="S103">
        <v>15</v>
      </c>
      <c r="T103">
        <v>42</v>
      </c>
      <c r="U103">
        <v>0.09</v>
      </c>
      <c r="V103">
        <v>1</v>
      </c>
      <c r="W103">
        <v>134</v>
      </c>
      <c r="X103">
        <v>665.7</v>
      </c>
      <c r="Y103">
        <v>46</v>
      </c>
      <c r="Z103">
        <v>0.4</v>
      </c>
      <c r="AA103">
        <v>88</v>
      </c>
      <c r="AB103" t="s">
        <v>1199</v>
      </c>
    </row>
    <row r="104" spans="1:28" x14ac:dyDescent="0.2">
      <c r="A104">
        <v>165</v>
      </c>
      <c r="B104" t="s">
        <v>347</v>
      </c>
      <c r="C104" t="s">
        <v>1127</v>
      </c>
      <c r="D104" t="s">
        <v>451</v>
      </c>
      <c r="E104" t="s">
        <v>31</v>
      </c>
      <c r="F104" t="s">
        <v>1284</v>
      </c>
      <c r="G104">
        <v>1</v>
      </c>
      <c r="H104">
        <v>36</v>
      </c>
      <c r="I104">
        <v>1</v>
      </c>
      <c r="J104">
        <v>0.3</v>
      </c>
      <c r="K104">
        <v>7.3</v>
      </c>
      <c r="L104">
        <v>1.4</v>
      </c>
      <c r="M104">
        <v>0.5</v>
      </c>
      <c r="O104">
        <v>5833</v>
      </c>
      <c r="P104">
        <v>0.05</v>
      </c>
      <c r="Q104">
        <v>0.09</v>
      </c>
      <c r="R104">
        <v>3</v>
      </c>
      <c r="S104">
        <v>18</v>
      </c>
      <c r="T104">
        <v>29</v>
      </c>
      <c r="U104">
        <v>0.12</v>
      </c>
      <c r="V104">
        <v>0.5</v>
      </c>
      <c r="W104">
        <v>24</v>
      </c>
      <c r="X104">
        <v>272.39999999999998</v>
      </c>
      <c r="Y104">
        <v>23</v>
      </c>
      <c r="Z104">
        <v>0.2</v>
      </c>
      <c r="AA104">
        <v>85</v>
      </c>
      <c r="AB104" t="s">
        <v>1191</v>
      </c>
    </row>
    <row r="105" spans="1:28" x14ac:dyDescent="0.2">
      <c r="A105">
        <v>165</v>
      </c>
      <c r="B105" t="s">
        <v>347</v>
      </c>
      <c r="C105" t="s">
        <v>1127</v>
      </c>
      <c r="D105" t="s">
        <v>1201</v>
      </c>
      <c r="E105" t="s">
        <v>285</v>
      </c>
      <c r="F105" t="s">
        <v>1285</v>
      </c>
      <c r="G105">
        <v>1</v>
      </c>
      <c r="H105">
        <v>0</v>
      </c>
      <c r="I105">
        <v>0</v>
      </c>
      <c r="J105">
        <v>0</v>
      </c>
      <c r="K105">
        <v>0</v>
      </c>
      <c r="L105">
        <v>0</v>
      </c>
      <c r="M105">
        <v>99</v>
      </c>
      <c r="N105">
        <v>0</v>
      </c>
      <c r="O105">
        <v>0</v>
      </c>
      <c r="P105">
        <v>0</v>
      </c>
      <c r="Q105">
        <v>0</v>
      </c>
      <c r="R105">
        <v>0</v>
      </c>
      <c r="S105">
        <v>0</v>
      </c>
      <c r="T105">
        <v>50</v>
      </c>
      <c r="U105">
        <v>0</v>
      </c>
      <c r="V105">
        <v>0</v>
      </c>
      <c r="W105">
        <v>0</v>
      </c>
      <c r="X105">
        <v>2</v>
      </c>
      <c r="Y105">
        <v>38700</v>
      </c>
      <c r="Z105">
        <v>0</v>
      </c>
      <c r="AA105">
        <v>100</v>
      </c>
      <c r="AB105" t="s">
        <v>1203</v>
      </c>
    </row>
    <row r="106" spans="1:28" x14ac:dyDescent="0.2">
      <c r="A106">
        <v>165</v>
      </c>
      <c r="B106" t="s">
        <v>347</v>
      </c>
      <c r="C106" t="s">
        <v>1127</v>
      </c>
      <c r="D106" t="s">
        <v>1271</v>
      </c>
      <c r="E106" t="s">
        <v>31</v>
      </c>
      <c r="F106" t="s">
        <v>1286</v>
      </c>
      <c r="G106">
        <v>20</v>
      </c>
      <c r="H106">
        <v>149</v>
      </c>
      <c r="I106">
        <v>16.600000000000001</v>
      </c>
      <c r="J106">
        <v>9.1999999999999993</v>
      </c>
      <c r="K106">
        <v>0</v>
      </c>
      <c r="L106">
        <v>0</v>
      </c>
      <c r="M106">
        <v>3.9</v>
      </c>
      <c r="N106">
        <v>0</v>
      </c>
      <c r="O106">
        <v>0</v>
      </c>
      <c r="P106">
        <v>0.09</v>
      </c>
      <c r="Q106">
        <v>0.23</v>
      </c>
      <c r="R106">
        <v>5</v>
      </c>
      <c r="S106">
        <v>0</v>
      </c>
      <c r="T106">
        <v>11</v>
      </c>
      <c r="U106">
        <v>0.31</v>
      </c>
      <c r="V106">
        <v>1</v>
      </c>
      <c r="W106">
        <v>124</v>
      </c>
      <c r="X106">
        <v>268.7</v>
      </c>
      <c r="Y106">
        <v>96</v>
      </c>
      <c r="Z106">
        <v>4.9000000000000004</v>
      </c>
      <c r="AA106">
        <v>100</v>
      </c>
      <c r="AB106" t="s">
        <v>1287</v>
      </c>
    </row>
    <row r="107" spans="1:28" x14ac:dyDescent="0.2">
      <c r="A107">
        <v>165</v>
      </c>
      <c r="B107" t="s">
        <v>347</v>
      </c>
      <c r="C107" t="s">
        <v>1127</v>
      </c>
      <c r="D107" t="s">
        <v>1130</v>
      </c>
      <c r="E107" t="s">
        <v>31</v>
      </c>
      <c r="F107" t="s">
        <v>1288</v>
      </c>
      <c r="G107">
        <v>7</v>
      </c>
      <c r="H107">
        <v>51</v>
      </c>
      <c r="I107">
        <v>2.5</v>
      </c>
      <c r="J107">
        <v>1.1000000000000001</v>
      </c>
      <c r="K107">
        <v>8</v>
      </c>
      <c r="L107">
        <v>3.4</v>
      </c>
      <c r="M107">
        <v>2.2000000000000002</v>
      </c>
      <c r="O107">
        <v>9999</v>
      </c>
      <c r="P107">
        <v>0.4</v>
      </c>
      <c r="Q107">
        <v>0.1</v>
      </c>
      <c r="R107">
        <v>0.2</v>
      </c>
      <c r="S107">
        <v>16</v>
      </c>
      <c r="T107">
        <v>100</v>
      </c>
      <c r="U107">
        <v>0.9</v>
      </c>
      <c r="V107">
        <v>3.4</v>
      </c>
      <c r="W107">
        <v>50</v>
      </c>
      <c r="X107">
        <v>100</v>
      </c>
      <c r="Y107">
        <v>50</v>
      </c>
      <c r="Z107">
        <v>0.6</v>
      </c>
      <c r="AA107">
        <v>75</v>
      </c>
      <c r="AB107" t="s">
        <v>1132</v>
      </c>
    </row>
    <row r="108" spans="1:28" x14ac:dyDescent="0.2">
      <c r="A108">
        <v>165</v>
      </c>
      <c r="B108" t="s">
        <v>347</v>
      </c>
      <c r="C108" t="s">
        <v>1127</v>
      </c>
      <c r="D108" t="s">
        <v>1192</v>
      </c>
      <c r="E108" t="s">
        <v>31</v>
      </c>
      <c r="F108" t="s">
        <v>1289</v>
      </c>
      <c r="G108">
        <v>4</v>
      </c>
      <c r="H108">
        <v>24</v>
      </c>
      <c r="I108">
        <v>1.3</v>
      </c>
      <c r="J108">
        <v>0.5</v>
      </c>
      <c r="K108">
        <v>4.7</v>
      </c>
      <c r="L108">
        <v>1.5</v>
      </c>
      <c r="M108">
        <v>0.6</v>
      </c>
      <c r="O108">
        <v>575</v>
      </c>
      <c r="P108">
        <v>0.06</v>
      </c>
      <c r="Q108">
        <v>7.0000000000000007E-2</v>
      </c>
      <c r="R108">
        <v>0.4</v>
      </c>
      <c r="S108">
        <v>34</v>
      </c>
      <c r="T108">
        <v>8</v>
      </c>
      <c r="U108">
        <v>0.14000000000000001</v>
      </c>
      <c r="V108">
        <v>0.6</v>
      </c>
      <c r="W108">
        <v>77</v>
      </c>
      <c r="X108">
        <v>164.9</v>
      </c>
      <c r="Y108">
        <v>9.8000000000000007</v>
      </c>
      <c r="Z108">
        <v>0.2</v>
      </c>
      <c r="AA108">
        <v>100</v>
      </c>
      <c r="AB108" t="s">
        <v>1194</v>
      </c>
    </row>
    <row r="109" spans="1:28" x14ac:dyDescent="0.2">
      <c r="A109">
        <v>165</v>
      </c>
      <c r="B109" t="s">
        <v>347</v>
      </c>
      <c r="C109" t="s">
        <v>1127</v>
      </c>
      <c r="D109" t="s">
        <v>1170</v>
      </c>
      <c r="E109" t="s">
        <v>31</v>
      </c>
      <c r="F109" t="s">
        <v>1290</v>
      </c>
      <c r="G109">
        <v>6</v>
      </c>
      <c r="H109">
        <v>324</v>
      </c>
      <c r="I109">
        <v>4.2</v>
      </c>
      <c r="J109">
        <v>34.299999999999997</v>
      </c>
      <c r="K109">
        <v>5.6</v>
      </c>
      <c r="L109">
        <v>0</v>
      </c>
      <c r="M109">
        <v>1</v>
      </c>
      <c r="N109">
        <v>0</v>
      </c>
      <c r="O109">
        <v>0</v>
      </c>
      <c r="P109">
        <v>0.02</v>
      </c>
      <c r="Q109">
        <v>0</v>
      </c>
      <c r="R109">
        <v>0.5</v>
      </c>
      <c r="S109">
        <v>2</v>
      </c>
      <c r="T109">
        <v>14</v>
      </c>
      <c r="U109">
        <v>0.37</v>
      </c>
      <c r="V109">
        <v>1.9</v>
      </c>
      <c r="W109">
        <v>45</v>
      </c>
      <c r="X109">
        <v>514.1</v>
      </c>
      <c r="Y109">
        <v>18</v>
      </c>
      <c r="Z109">
        <v>0.9</v>
      </c>
      <c r="AA109">
        <v>100</v>
      </c>
      <c r="AB109" t="s">
        <v>1291</v>
      </c>
    </row>
    <row r="110" spans="1:28" x14ac:dyDescent="0.2">
      <c r="A110">
        <v>165</v>
      </c>
      <c r="B110" t="s">
        <v>347</v>
      </c>
      <c r="C110" t="s">
        <v>1127</v>
      </c>
      <c r="D110" t="s">
        <v>525</v>
      </c>
      <c r="E110" t="s">
        <v>31</v>
      </c>
      <c r="F110" t="s">
        <v>1292</v>
      </c>
      <c r="G110">
        <v>3</v>
      </c>
      <c r="H110">
        <v>71</v>
      </c>
      <c r="I110">
        <v>5.7</v>
      </c>
      <c r="J110">
        <v>1.3</v>
      </c>
      <c r="K110">
        <v>9</v>
      </c>
      <c r="L110">
        <v>0</v>
      </c>
      <c r="M110">
        <v>21</v>
      </c>
      <c r="N110">
        <v>0</v>
      </c>
      <c r="P110">
        <v>0</v>
      </c>
      <c r="S110">
        <v>0</v>
      </c>
      <c r="T110">
        <v>123</v>
      </c>
      <c r="U110">
        <v>0.04</v>
      </c>
      <c r="V110">
        <v>5.7</v>
      </c>
      <c r="W110">
        <v>96</v>
      </c>
      <c r="Y110">
        <v>1114</v>
      </c>
      <c r="AA110">
        <v>100</v>
      </c>
      <c r="AB110" t="s">
        <v>1293</v>
      </c>
    </row>
    <row r="111" spans="1:28" x14ac:dyDescent="0.2">
      <c r="A111">
        <v>165</v>
      </c>
      <c r="B111" t="s">
        <v>347</v>
      </c>
      <c r="C111" t="s">
        <v>1127</v>
      </c>
      <c r="D111" t="s">
        <v>476</v>
      </c>
      <c r="E111" t="s">
        <v>31</v>
      </c>
      <c r="F111" t="s">
        <v>1294</v>
      </c>
      <c r="G111">
        <v>2</v>
      </c>
      <c r="H111">
        <v>884</v>
      </c>
      <c r="I111">
        <v>0</v>
      </c>
      <c r="J111">
        <v>100</v>
      </c>
      <c r="K111">
        <v>0</v>
      </c>
      <c r="L111">
        <v>0</v>
      </c>
      <c r="M111">
        <v>0</v>
      </c>
      <c r="O111">
        <v>18181</v>
      </c>
      <c r="P111">
        <v>0</v>
      </c>
      <c r="Q111">
        <v>0</v>
      </c>
      <c r="R111">
        <v>0</v>
      </c>
      <c r="S111">
        <v>0</v>
      </c>
      <c r="T111">
        <v>0</v>
      </c>
      <c r="U111">
        <v>0</v>
      </c>
      <c r="V111">
        <v>0</v>
      </c>
      <c r="W111">
        <v>0</v>
      </c>
      <c r="X111">
        <v>0</v>
      </c>
      <c r="Y111">
        <v>0</v>
      </c>
      <c r="Z111">
        <v>0</v>
      </c>
      <c r="AA111">
        <v>100</v>
      </c>
      <c r="AB111" t="s">
        <v>1198</v>
      </c>
    </row>
    <row r="112" spans="1:28" x14ac:dyDescent="0.2">
      <c r="A112">
        <v>165</v>
      </c>
      <c r="B112" t="s">
        <v>347</v>
      </c>
      <c r="C112" t="s">
        <v>1127</v>
      </c>
      <c r="D112" t="s">
        <v>1217</v>
      </c>
      <c r="E112" t="s">
        <v>31</v>
      </c>
      <c r="F112" t="s">
        <v>1295</v>
      </c>
      <c r="G112">
        <v>1</v>
      </c>
      <c r="H112">
        <v>386</v>
      </c>
      <c r="I112">
        <v>3</v>
      </c>
      <c r="J112">
        <v>10</v>
      </c>
      <c r="K112">
        <v>76</v>
      </c>
      <c r="L112">
        <v>0</v>
      </c>
      <c r="M112">
        <v>1</v>
      </c>
      <c r="N112">
        <v>0</v>
      </c>
      <c r="O112">
        <v>0</v>
      </c>
      <c r="P112">
        <v>0</v>
      </c>
      <c r="Q112">
        <v>0.34</v>
      </c>
      <c r="R112">
        <v>0.5</v>
      </c>
      <c r="S112">
        <v>0</v>
      </c>
      <c r="T112">
        <v>76</v>
      </c>
      <c r="U112">
        <v>0</v>
      </c>
      <c r="V112">
        <v>2.6</v>
      </c>
      <c r="W112">
        <v>37</v>
      </c>
      <c r="X112">
        <v>0</v>
      </c>
      <c r="Y112">
        <v>2</v>
      </c>
      <c r="Z112">
        <v>0</v>
      </c>
      <c r="AA112">
        <v>100</v>
      </c>
      <c r="AB112" t="s">
        <v>1225</v>
      </c>
    </row>
    <row r="113" spans="1:28" x14ac:dyDescent="0.2">
      <c r="A113">
        <v>165</v>
      </c>
      <c r="B113" t="s">
        <v>347</v>
      </c>
      <c r="C113" t="s">
        <v>1127</v>
      </c>
      <c r="D113" t="s">
        <v>449</v>
      </c>
      <c r="E113" t="s">
        <v>31</v>
      </c>
      <c r="F113" t="s">
        <v>1296</v>
      </c>
      <c r="G113">
        <v>2</v>
      </c>
      <c r="H113">
        <v>46</v>
      </c>
      <c r="I113">
        <v>1.5</v>
      </c>
      <c r="J113">
        <v>0.3</v>
      </c>
      <c r="K113">
        <v>9.1999999999999993</v>
      </c>
      <c r="L113">
        <v>1.7</v>
      </c>
      <c r="M113">
        <v>1</v>
      </c>
      <c r="O113">
        <v>2</v>
      </c>
      <c r="P113">
        <v>0.03</v>
      </c>
      <c r="Q113">
        <v>0.04</v>
      </c>
      <c r="R113">
        <v>0.2</v>
      </c>
      <c r="S113">
        <v>2</v>
      </c>
      <c r="T113">
        <v>36</v>
      </c>
      <c r="U113">
        <v>0.06</v>
      </c>
      <c r="V113">
        <v>0.8</v>
      </c>
      <c r="W113">
        <v>40</v>
      </c>
      <c r="X113">
        <v>178.6</v>
      </c>
      <c r="Y113">
        <v>7</v>
      </c>
      <c r="Z113">
        <v>0.2</v>
      </c>
      <c r="AA113">
        <v>90</v>
      </c>
      <c r="AB113" t="s">
        <v>1200</v>
      </c>
    </row>
    <row r="114" spans="1:28" x14ac:dyDescent="0.2">
      <c r="A114">
        <v>165</v>
      </c>
      <c r="B114" t="s">
        <v>347</v>
      </c>
      <c r="C114" t="s">
        <v>1127</v>
      </c>
      <c r="D114" t="s">
        <v>450</v>
      </c>
      <c r="E114" t="s">
        <v>31</v>
      </c>
      <c r="F114" t="s">
        <v>1297</v>
      </c>
      <c r="G114">
        <v>1</v>
      </c>
      <c r="H114">
        <v>112</v>
      </c>
      <c r="I114">
        <v>4.5</v>
      </c>
      <c r="J114">
        <v>0.2</v>
      </c>
      <c r="K114">
        <v>23.1</v>
      </c>
      <c r="L114">
        <v>0.6</v>
      </c>
      <c r="M114">
        <v>1.8</v>
      </c>
      <c r="O114">
        <v>0</v>
      </c>
      <c r="P114">
        <v>0.22</v>
      </c>
      <c r="Q114">
        <v>7.0000000000000007E-2</v>
      </c>
      <c r="R114">
        <v>0.3</v>
      </c>
      <c r="S114">
        <v>15</v>
      </c>
      <c r="T114">
        <v>42</v>
      </c>
      <c r="U114">
        <v>0.09</v>
      </c>
      <c r="V114">
        <v>1</v>
      </c>
      <c r="W114">
        <v>134</v>
      </c>
      <c r="X114">
        <v>665.7</v>
      </c>
      <c r="Y114">
        <v>46</v>
      </c>
      <c r="Z114">
        <v>0.4</v>
      </c>
      <c r="AA114">
        <v>88</v>
      </c>
      <c r="AB114" t="s">
        <v>1199</v>
      </c>
    </row>
    <row r="115" spans="1:28" x14ac:dyDescent="0.2">
      <c r="A115">
        <v>165</v>
      </c>
      <c r="B115" t="s">
        <v>347</v>
      </c>
      <c r="C115" t="s">
        <v>1127</v>
      </c>
      <c r="D115" t="s">
        <v>453</v>
      </c>
      <c r="E115" t="s">
        <v>31</v>
      </c>
      <c r="F115" t="s">
        <v>1298</v>
      </c>
      <c r="G115">
        <v>1</v>
      </c>
      <c r="H115">
        <v>120</v>
      </c>
      <c r="I115">
        <v>4.7</v>
      </c>
      <c r="J115">
        <v>2.4</v>
      </c>
      <c r="K115">
        <v>19.899999999999999</v>
      </c>
      <c r="L115">
        <v>15.2</v>
      </c>
      <c r="M115">
        <v>1.8</v>
      </c>
      <c r="O115">
        <v>1694</v>
      </c>
      <c r="P115">
        <v>0.24</v>
      </c>
      <c r="Q115">
        <v>0.09</v>
      </c>
      <c r="R115">
        <v>1.7</v>
      </c>
      <c r="S115">
        <v>70</v>
      </c>
      <c r="T115">
        <v>45</v>
      </c>
      <c r="U115">
        <v>0.28999999999999998</v>
      </c>
      <c r="V115">
        <v>2.5</v>
      </c>
      <c r="W115">
        <v>85</v>
      </c>
      <c r="X115">
        <v>706.2</v>
      </c>
      <c r="Y115">
        <v>34</v>
      </c>
      <c r="Z115">
        <v>0.6</v>
      </c>
      <c r="AA115">
        <v>85</v>
      </c>
      <c r="AB115" t="s">
        <v>1299</v>
      </c>
    </row>
    <row r="116" spans="1:28" x14ac:dyDescent="0.2">
      <c r="A116">
        <v>165</v>
      </c>
      <c r="B116" t="s">
        <v>347</v>
      </c>
      <c r="C116" t="s">
        <v>1127</v>
      </c>
      <c r="D116" t="s">
        <v>1213</v>
      </c>
      <c r="E116" t="s">
        <v>31</v>
      </c>
      <c r="F116" t="s">
        <v>1300</v>
      </c>
      <c r="G116">
        <v>1</v>
      </c>
      <c r="H116">
        <v>51</v>
      </c>
      <c r="I116">
        <v>1.5</v>
      </c>
      <c r="J116">
        <v>1</v>
      </c>
      <c r="K116">
        <v>10.1</v>
      </c>
      <c r="L116">
        <v>12</v>
      </c>
      <c r="M116">
        <v>1.2</v>
      </c>
      <c r="O116">
        <v>0</v>
      </c>
      <c r="P116">
        <v>0.02</v>
      </c>
      <c r="Q116">
        <v>0.17</v>
      </c>
      <c r="R116">
        <v>3.3</v>
      </c>
      <c r="S116">
        <v>4</v>
      </c>
      <c r="T116">
        <v>21</v>
      </c>
      <c r="U116">
        <v>0.48</v>
      </c>
      <c r="V116">
        <v>1.6</v>
      </c>
      <c r="W116">
        <v>39</v>
      </c>
      <c r="X116">
        <v>441.7</v>
      </c>
      <c r="Y116">
        <v>12</v>
      </c>
      <c r="Z116">
        <v>0.7</v>
      </c>
      <c r="AA116">
        <v>97</v>
      </c>
      <c r="AB116" t="s">
        <v>1226</v>
      </c>
    </row>
    <row r="117" spans="1:28" x14ac:dyDescent="0.2">
      <c r="A117">
        <v>165</v>
      </c>
      <c r="B117" t="s">
        <v>347</v>
      </c>
      <c r="C117" t="s">
        <v>1127</v>
      </c>
      <c r="D117" t="s">
        <v>1183</v>
      </c>
      <c r="E117" t="s">
        <v>31</v>
      </c>
      <c r="F117" t="s">
        <v>1301</v>
      </c>
      <c r="G117">
        <v>1</v>
      </c>
      <c r="H117">
        <v>26</v>
      </c>
      <c r="I117">
        <v>1</v>
      </c>
      <c r="J117">
        <v>0.3</v>
      </c>
      <c r="K117">
        <v>4.7</v>
      </c>
      <c r="L117">
        <v>1.1000000000000001</v>
      </c>
      <c r="M117">
        <v>1</v>
      </c>
      <c r="O117">
        <v>5</v>
      </c>
      <c r="P117">
        <v>0.08</v>
      </c>
      <c r="Q117">
        <v>0.06</v>
      </c>
      <c r="R117">
        <v>0.3</v>
      </c>
      <c r="S117">
        <v>50</v>
      </c>
      <c r="T117">
        <v>50</v>
      </c>
      <c r="U117">
        <v>7.0000000000000007E-2</v>
      </c>
      <c r="V117">
        <v>2</v>
      </c>
      <c r="W117">
        <v>50</v>
      </c>
      <c r="X117">
        <v>137.1</v>
      </c>
      <c r="Y117">
        <v>24</v>
      </c>
      <c r="Z117">
        <v>0.3</v>
      </c>
      <c r="AA117">
        <v>80</v>
      </c>
      <c r="AB117" t="s">
        <v>1302</v>
      </c>
    </row>
    <row r="118" spans="1:28" x14ac:dyDescent="0.2">
      <c r="A118">
        <v>165</v>
      </c>
      <c r="B118" t="s">
        <v>347</v>
      </c>
      <c r="C118" t="s">
        <v>1127</v>
      </c>
      <c r="D118" t="s">
        <v>1201</v>
      </c>
      <c r="E118" t="s">
        <v>285</v>
      </c>
      <c r="F118" t="s">
        <v>1303</v>
      </c>
      <c r="G118">
        <v>1</v>
      </c>
      <c r="H118">
        <v>0</v>
      </c>
      <c r="I118">
        <v>0</v>
      </c>
      <c r="J118">
        <v>0</v>
      </c>
      <c r="K118">
        <v>0</v>
      </c>
      <c r="L118">
        <v>0</v>
      </c>
      <c r="M118">
        <v>99</v>
      </c>
      <c r="N118">
        <v>0</v>
      </c>
      <c r="O118">
        <v>0</v>
      </c>
      <c r="P118">
        <v>0</v>
      </c>
      <c r="Q118">
        <v>0</v>
      </c>
      <c r="R118">
        <v>0</v>
      </c>
      <c r="S118">
        <v>0</v>
      </c>
      <c r="T118">
        <v>50</v>
      </c>
      <c r="U118">
        <v>0</v>
      </c>
      <c r="V118">
        <v>0</v>
      </c>
      <c r="W118">
        <v>0</v>
      </c>
      <c r="X118">
        <v>2</v>
      </c>
      <c r="Y118">
        <v>38700</v>
      </c>
      <c r="Z118">
        <v>0</v>
      </c>
      <c r="AA118">
        <v>100</v>
      </c>
      <c r="AB118" t="s">
        <v>1203</v>
      </c>
    </row>
    <row r="119" spans="1:28" x14ac:dyDescent="0.2">
      <c r="A119" s="5">
        <v>165</v>
      </c>
      <c r="B119" s="5" t="s">
        <v>347</v>
      </c>
      <c r="C119" s="5" t="s">
        <v>1127</v>
      </c>
      <c r="D119" s="5"/>
      <c r="E119" s="5" t="s">
        <v>1151</v>
      </c>
      <c r="F119" s="5" t="s">
        <v>1152</v>
      </c>
      <c r="G119" s="5">
        <f>SUM(G96:G118)</f>
        <v>100</v>
      </c>
      <c r="H119" s="5">
        <f t="shared" ref="H119:AA119" si="8">SUMPRODUCT($G$96:$G$118/100,H96:H118)</f>
        <v>201.42</v>
      </c>
      <c r="I119" s="5">
        <f t="shared" si="8"/>
        <v>12.058999999999999</v>
      </c>
      <c r="J119" s="5">
        <f t="shared" si="8"/>
        <v>14.574999999999999</v>
      </c>
      <c r="K119" s="5">
        <f t="shared" si="8"/>
        <v>6.78</v>
      </c>
      <c r="L119" s="5">
        <f t="shared" si="8"/>
        <v>0.84900000000000009</v>
      </c>
      <c r="M119" s="5">
        <f t="shared" si="8"/>
        <v>5.5729999999999986</v>
      </c>
      <c r="N119" s="5">
        <f t="shared" si="8"/>
        <v>35.020000000000003</v>
      </c>
      <c r="O119" s="5">
        <f t="shared" si="8"/>
        <v>1177.7900000000002</v>
      </c>
      <c r="P119" s="5">
        <f t="shared" si="8"/>
        <v>0.1043</v>
      </c>
      <c r="Q119" s="5">
        <f t="shared" si="8"/>
        <v>0.17850000000000002</v>
      </c>
      <c r="R119" s="5">
        <f t="shared" si="8"/>
        <v>4.1620000000000008</v>
      </c>
      <c r="S119" s="5">
        <f t="shared" si="8"/>
        <v>4.4000000000000004</v>
      </c>
      <c r="T119" s="5">
        <f t="shared" si="8"/>
        <v>37.57</v>
      </c>
      <c r="U119" s="5">
        <f t="shared" si="8"/>
        <v>0.68400000000000005</v>
      </c>
      <c r="V119" s="5">
        <f t="shared" si="8"/>
        <v>2.0079999999999996</v>
      </c>
      <c r="W119" s="5">
        <f t="shared" si="8"/>
        <v>125.08999999999999</v>
      </c>
      <c r="X119" s="5">
        <f t="shared" si="8"/>
        <v>275.97799999999995</v>
      </c>
      <c r="Y119" s="5">
        <f t="shared" si="8"/>
        <v>924.78200000000004</v>
      </c>
      <c r="Z119" s="5">
        <f t="shared" si="8"/>
        <v>2.234</v>
      </c>
      <c r="AA119" s="5">
        <f t="shared" si="8"/>
        <v>91.199999999999989</v>
      </c>
      <c r="AB119" s="6" t="s">
        <v>1304</v>
      </c>
    </row>
    <row r="120" spans="1:28" x14ac:dyDescent="0.2">
      <c r="A120">
        <v>166</v>
      </c>
      <c r="B120" t="s">
        <v>349</v>
      </c>
      <c r="C120" t="s">
        <v>1127</v>
      </c>
      <c r="D120" t="s">
        <v>564</v>
      </c>
      <c r="E120" t="s">
        <v>31</v>
      </c>
      <c r="F120" t="s">
        <v>1305</v>
      </c>
      <c r="G120">
        <v>22</v>
      </c>
      <c r="H120">
        <v>339</v>
      </c>
      <c r="I120">
        <v>10</v>
      </c>
      <c r="J120">
        <v>1.7</v>
      </c>
      <c r="K120">
        <v>6.3</v>
      </c>
      <c r="L120">
        <v>0.4</v>
      </c>
      <c r="M120">
        <v>1.4</v>
      </c>
      <c r="P120">
        <v>0</v>
      </c>
      <c r="Q120">
        <v>0.08</v>
      </c>
      <c r="R120">
        <v>2.2000000000000002</v>
      </c>
      <c r="S120">
        <v>0</v>
      </c>
      <c r="T120">
        <v>31</v>
      </c>
      <c r="U120">
        <v>0.28999999999999998</v>
      </c>
      <c r="V120">
        <v>3.9</v>
      </c>
      <c r="W120">
        <v>143</v>
      </c>
      <c r="X120">
        <v>83</v>
      </c>
      <c r="Y120">
        <v>760</v>
      </c>
      <c r="Z120">
        <v>1.9</v>
      </c>
      <c r="AA120">
        <v>100</v>
      </c>
      <c r="AB120" t="s">
        <v>1306</v>
      </c>
    </row>
    <row r="121" spans="1:28" x14ac:dyDescent="0.2">
      <c r="A121">
        <v>166</v>
      </c>
      <c r="B121" t="s">
        <v>349</v>
      </c>
      <c r="C121" t="s">
        <v>1127</v>
      </c>
      <c r="D121" t="s">
        <v>1227</v>
      </c>
      <c r="E121" t="s">
        <v>285</v>
      </c>
      <c r="F121" t="s">
        <v>1228</v>
      </c>
      <c r="G121">
        <v>40</v>
      </c>
      <c r="H121">
        <v>0</v>
      </c>
      <c r="I121">
        <v>0</v>
      </c>
      <c r="J121">
        <v>0</v>
      </c>
      <c r="K121">
        <v>0</v>
      </c>
      <c r="L121">
        <v>0</v>
      </c>
      <c r="M121">
        <v>7.0000000000000007E-2</v>
      </c>
      <c r="N121">
        <v>0</v>
      </c>
      <c r="O121">
        <v>0</v>
      </c>
      <c r="P121">
        <v>0</v>
      </c>
      <c r="Q121">
        <v>0</v>
      </c>
      <c r="R121">
        <v>0</v>
      </c>
      <c r="S121">
        <v>0</v>
      </c>
      <c r="T121">
        <v>10</v>
      </c>
      <c r="U121">
        <v>7.0000000000000001E-3</v>
      </c>
      <c r="V121">
        <v>0</v>
      </c>
      <c r="W121">
        <v>0</v>
      </c>
      <c r="X121">
        <v>0</v>
      </c>
      <c r="Y121">
        <v>2</v>
      </c>
      <c r="Z121">
        <v>0</v>
      </c>
      <c r="AA121">
        <v>100</v>
      </c>
      <c r="AB121" t="s">
        <v>1229</v>
      </c>
    </row>
    <row r="122" spans="1:28" x14ac:dyDescent="0.2">
      <c r="A122">
        <v>166</v>
      </c>
      <c r="B122" t="s">
        <v>349</v>
      </c>
      <c r="C122" t="s">
        <v>1127</v>
      </c>
      <c r="D122" t="s">
        <v>1061</v>
      </c>
      <c r="E122" t="s">
        <v>31</v>
      </c>
      <c r="F122" t="s">
        <v>1307</v>
      </c>
      <c r="G122">
        <v>6</v>
      </c>
      <c r="H122">
        <v>298</v>
      </c>
      <c r="I122">
        <v>18.2</v>
      </c>
      <c r="J122">
        <v>25</v>
      </c>
      <c r="K122">
        <v>0</v>
      </c>
      <c r="L122">
        <v>0</v>
      </c>
      <c r="M122">
        <v>0.9</v>
      </c>
      <c r="N122">
        <v>245</v>
      </c>
      <c r="O122">
        <v>0</v>
      </c>
      <c r="P122">
        <v>0.08</v>
      </c>
      <c r="Q122">
        <v>0.14000000000000001</v>
      </c>
      <c r="R122">
        <v>10.4</v>
      </c>
      <c r="S122">
        <v>0</v>
      </c>
      <c r="T122">
        <v>14</v>
      </c>
      <c r="U122">
        <v>0.11</v>
      </c>
      <c r="V122">
        <v>1.5</v>
      </c>
      <c r="W122">
        <v>200</v>
      </c>
      <c r="X122">
        <v>385.9</v>
      </c>
      <c r="Y122">
        <v>109</v>
      </c>
      <c r="Z122">
        <v>0.6</v>
      </c>
      <c r="AA122">
        <v>58</v>
      </c>
      <c r="AB122" t="s">
        <v>1308</v>
      </c>
    </row>
    <row r="123" spans="1:28" x14ac:dyDescent="0.2">
      <c r="A123">
        <v>166</v>
      </c>
      <c r="B123" t="s">
        <v>349</v>
      </c>
      <c r="C123" t="s">
        <v>1127</v>
      </c>
      <c r="D123" t="s">
        <v>1274</v>
      </c>
      <c r="E123" t="s">
        <v>31</v>
      </c>
      <c r="F123" t="s">
        <v>1309</v>
      </c>
      <c r="G123">
        <v>6</v>
      </c>
      <c r="H123">
        <v>201</v>
      </c>
      <c r="I123">
        <v>18.8</v>
      </c>
      <c r="J123">
        <v>14</v>
      </c>
      <c r="K123">
        <v>0</v>
      </c>
      <c r="L123">
        <v>0</v>
      </c>
      <c r="M123">
        <v>1.2</v>
      </c>
      <c r="N123">
        <v>9</v>
      </c>
      <c r="O123">
        <v>198</v>
      </c>
      <c r="P123">
        <v>0.08</v>
      </c>
      <c r="Q123">
        <v>0.56000000000000005</v>
      </c>
      <c r="R123">
        <v>1.3</v>
      </c>
      <c r="S123">
        <v>0</v>
      </c>
      <c r="T123">
        <v>11</v>
      </c>
      <c r="U123">
        <v>4.58</v>
      </c>
      <c r="V123">
        <v>2.8</v>
      </c>
      <c r="W123">
        <v>170</v>
      </c>
      <c r="X123">
        <v>378</v>
      </c>
      <c r="Y123">
        <v>105</v>
      </c>
      <c r="Z123">
        <v>5.2</v>
      </c>
      <c r="AA123">
        <v>100</v>
      </c>
      <c r="AB123" t="s">
        <v>1310</v>
      </c>
    </row>
    <row r="124" spans="1:28" x14ac:dyDescent="0.2">
      <c r="A124">
        <v>166</v>
      </c>
      <c r="B124" t="s">
        <v>349</v>
      </c>
      <c r="C124" t="s">
        <v>1127</v>
      </c>
      <c r="D124" t="s">
        <v>1311</v>
      </c>
      <c r="E124" t="s">
        <v>31</v>
      </c>
      <c r="F124" t="s">
        <v>1312</v>
      </c>
      <c r="G124">
        <v>2</v>
      </c>
      <c r="H124">
        <v>363</v>
      </c>
      <c r="I124">
        <v>1.1000000000000001</v>
      </c>
      <c r="J124">
        <v>0.5</v>
      </c>
      <c r="K124">
        <v>88.2</v>
      </c>
      <c r="L124">
        <v>0.9</v>
      </c>
      <c r="M124">
        <v>1.1000000000000001</v>
      </c>
      <c r="O124">
        <v>0</v>
      </c>
      <c r="P124">
        <v>0.04</v>
      </c>
      <c r="Q124">
        <v>0</v>
      </c>
      <c r="R124">
        <v>0.4</v>
      </c>
      <c r="S124">
        <v>0</v>
      </c>
      <c r="T124">
        <v>84</v>
      </c>
      <c r="U124">
        <v>0</v>
      </c>
      <c r="V124">
        <v>1</v>
      </c>
      <c r="W124">
        <v>125</v>
      </c>
      <c r="X124">
        <v>7.1</v>
      </c>
      <c r="Y124">
        <v>1</v>
      </c>
      <c r="Z124">
        <v>0.1</v>
      </c>
      <c r="AA124">
        <v>100</v>
      </c>
      <c r="AB124" t="s">
        <v>1313</v>
      </c>
    </row>
    <row r="125" spans="1:28" x14ac:dyDescent="0.2">
      <c r="A125">
        <v>166</v>
      </c>
      <c r="B125" t="s">
        <v>349</v>
      </c>
      <c r="C125" t="s">
        <v>1127</v>
      </c>
      <c r="D125" t="s">
        <v>1314</v>
      </c>
      <c r="E125" t="s">
        <v>31</v>
      </c>
      <c r="F125" t="s">
        <v>1315</v>
      </c>
      <c r="G125">
        <v>6</v>
      </c>
      <c r="H125">
        <v>28</v>
      </c>
      <c r="I125">
        <v>2.2999999999999998</v>
      </c>
      <c r="J125">
        <v>0.3</v>
      </c>
      <c r="K125">
        <v>4</v>
      </c>
      <c r="L125">
        <v>2.5</v>
      </c>
      <c r="M125">
        <v>1.2</v>
      </c>
      <c r="O125">
        <v>2042</v>
      </c>
      <c r="P125">
        <v>0.09</v>
      </c>
      <c r="Q125">
        <v>0.23</v>
      </c>
      <c r="R125">
        <v>0.7</v>
      </c>
      <c r="S125">
        <v>102</v>
      </c>
      <c r="T125">
        <v>220</v>
      </c>
      <c r="U125">
        <v>0.12</v>
      </c>
      <c r="V125">
        <v>2.9</v>
      </c>
      <c r="W125">
        <v>38</v>
      </c>
      <c r="X125">
        <v>436.5</v>
      </c>
      <c r="Y125">
        <v>21.9</v>
      </c>
      <c r="Z125">
        <v>0.2</v>
      </c>
      <c r="AA125">
        <v>87</v>
      </c>
      <c r="AB125" t="s">
        <v>1316</v>
      </c>
    </row>
    <row r="126" spans="1:28" x14ac:dyDescent="0.2">
      <c r="A126">
        <v>166</v>
      </c>
      <c r="B126" t="s">
        <v>349</v>
      </c>
      <c r="C126" t="s">
        <v>1127</v>
      </c>
      <c r="D126" t="s">
        <v>1237</v>
      </c>
      <c r="E126" t="s">
        <v>31</v>
      </c>
      <c r="F126" t="s">
        <v>1238</v>
      </c>
      <c r="G126">
        <v>3</v>
      </c>
      <c r="H126">
        <v>34</v>
      </c>
      <c r="I126">
        <v>3.7</v>
      </c>
      <c r="J126">
        <v>1.2</v>
      </c>
      <c r="K126">
        <v>4.3</v>
      </c>
      <c r="L126">
        <v>1.1000000000000001</v>
      </c>
      <c r="M126">
        <v>0.4</v>
      </c>
      <c r="O126">
        <v>41</v>
      </c>
      <c r="P126">
        <v>0.09</v>
      </c>
      <c r="Q126">
        <v>0.15</v>
      </c>
      <c r="R126">
        <v>1.1000000000000001</v>
      </c>
      <c r="S126">
        <v>5</v>
      </c>
      <c r="T126">
        <v>166</v>
      </c>
      <c r="U126">
        <v>0.16</v>
      </c>
      <c r="V126">
        <v>0.8</v>
      </c>
      <c r="W126">
        <v>74</v>
      </c>
      <c r="X126">
        <v>93.3</v>
      </c>
      <c r="Y126">
        <v>18.899999999999999</v>
      </c>
      <c r="Z126">
        <v>0.4</v>
      </c>
      <c r="AA126">
        <v>100</v>
      </c>
      <c r="AB126" t="s">
        <v>1239</v>
      </c>
    </row>
    <row r="127" spans="1:28" x14ac:dyDescent="0.2">
      <c r="A127">
        <v>166</v>
      </c>
      <c r="B127" t="s">
        <v>349</v>
      </c>
      <c r="C127" t="s">
        <v>1127</v>
      </c>
      <c r="D127" t="s">
        <v>1066</v>
      </c>
      <c r="E127" t="s">
        <v>31</v>
      </c>
      <c r="F127" t="s">
        <v>1247</v>
      </c>
      <c r="G127">
        <v>3</v>
      </c>
      <c r="H127">
        <v>154</v>
      </c>
      <c r="I127">
        <v>12.4</v>
      </c>
      <c r="J127">
        <v>10.8</v>
      </c>
      <c r="K127">
        <v>0.7</v>
      </c>
      <c r="L127">
        <v>0</v>
      </c>
      <c r="M127">
        <v>0.8</v>
      </c>
      <c r="N127">
        <v>61</v>
      </c>
      <c r="O127">
        <v>22</v>
      </c>
      <c r="P127">
        <v>0.12</v>
      </c>
      <c r="Q127">
        <v>0.38</v>
      </c>
      <c r="R127">
        <v>0.2</v>
      </c>
      <c r="S127">
        <v>0</v>
      </c>
      <c r="T127">
        <v>86</v>
      </c>
      <c r="U127">
        <v>0.16</v>
      </c>
      <c r="V127">
        <v>3</v>
      </c>
      <c r="W127">
        <v>258</v>
      </c>
      <c r="X127">
        <v>118.5</v>
      </c>
      <c r="Y127">
        <v>142</v>
      </c>
      <c r="Z127">
        <v>1</v>
      </c>
      <c r="AA127">
        <v>89</v>
      </c>
      <c r="AB127" t="s">
        <v>1248</v>
      </c>
    </row>
    <row r="128" spans="1:28" x14ac:dyDescent="0.2">
      <c r="A128">
        <v>166</v>
      </c>
      <c r="B128" t="s">
        <v>349</v>
      </c>
      <c r="C128" t="s">
        <v>1127</v>
      </c>
      <c r="D128" t="s">
        <v>476</v>
      </c>
      <c r="E128" t="s">
        <v>31</v>
      </c>
      <c r="F128" t="s">
        <v>1197</v>
      </c>
      <c r="G128">
        <v>3</v>
      </c>
      <c r="H128">
        <v>884</v>
      </c>
      <c r="I128">
        <v>0</v>
      </c>
      <c r="J128">
        <v>100</v>
      </c>
      <c r="K128">
        <v>0</v>
      </c>
      <c r="L128">
        <v>0</v>
      </c>
      <c r="M128">
        <v>0</v>
      </c>
      <c r="O128">
        <v>18181</v>
      </c>
      <c r="P128">
        <v>0</v>
      </c>
      <c r="Q128">
        <v>0</v>
      </c>
      <c r="R128">
        <v>0</v>
      </c>
      <c r="S128">
        <v>0</v>
      </c>
      <c r="T128">
        <v>0</v>
      </c>
      <c r="U128">
        <v>0</v>
      </c>
      <c r="V128">
        <v>0</v>
      </c>
      <c r="W128">
        <v>0</v>
      </c>
      <c r="X128">
        <v>0</v>
      </c>
      <c r="Y128">
        <v>0</v>
      </c>
      <c r="Z128">
        <v>0</v>
      </c>
      <c r="AA128">
        <v>100</v>
      </c>
      <c r="AB128" t="s">
        <v>1198</v>
      </c>
    </row>
    <row r="129" spans="1:28" x14ac:dyDescent="0.2">
      <c r="A129">
        <v>166</v>
      </c>
      <c r="B129" t="s">
        <v>349</v>
      </c>
      <c r="C129" t="s">
        <v>1127</v>
      </c>
      <c r="D129" t="s">
        <v>525</v>
      </c>
      <c r="E129" t="s">
        <v>31</v>
      </c>
      <c r="F129" t="s">
        <v>297</v>
      </c>
      <c r="G129">
        <v>3</v>
      </c>
      <c r="H129">
        <v>71</v>
      </c>
      <c r="I129">
        <v>5.7</v>
      </c>
      <c r="J129">
        <v>1.3</v>
      </c>
      <c r="K129">
        <v>9</v>
      </c>
      <c r="L129">
        <v>0</v>
      </c>
      <c r="M129">
        <v>21</v>
      </c>
      <c r="N129">
        <v>0</v>
      </c>
      <c r="P129">
        <v>0</v>
      </c>
      <c r="S129">
        <v>0</v>
      </c>
      <c r="T129">
        <v>123</v>
      </c>
      <c r="U129">
        <v>0.04</v>
      </c>
      <c r="V129">
        <v>5.7</v>
      </c>
      <c r="W129">
        <v>96</v>
      </c>
      <c r="Y129">
        <v>1114</v>
      </c>
      <c r="AA129">
        <v>100</v>
      </c>
      <c r="AB129" t="s">
        <v>1317</v>
      </c>
    </row>
    <row r="130" spans="1:28" x14ac:dyDescent="0.2">
      <c r="A130">
        <v>166</v>
      </c>
      <c r="B130" t="s">
        <v>349</v>
      </c>
      <c r="C130" t="s">
        <v>1127</v>
      </c>
      <c r="D130" t="s">
        <v>563</v>
      </c>
      <c r="E130" t="s">
        <v>31</v>
      </c>
      <c r="F130" t="s">
        <v>1318</v>
      </c>
      <c r="G130">
        <v>2</v>
      </c>
      <c r="H130">
        <v>110</v>
      </c>
      <c r="I130">
        <v>2</v>
      </c>
      <c r="J130">
        <v>0.4</v>
      </c>
      <c r="K130">
        <v>24.5</v>
      </c>
      <c r="L130">
        <v>0.9</v>
      </c>
      <c r="M130">
        <v>3.6</v>
      </c>
      <c r="O130">
        <v>357</v>
      </c>
      <c r="P130">
        <v>0.09</v>
      </c>
      <c r="Q130">
        <v>0.06</v>
      </c>
      <c r="R130">
        <v>1.7</v>
      </c>
      <c r="S130">
        <v>11</v>
      </c>
      <c r="T130">
        <v>12</v>
      </c>
      <c r="U130">
        <v>0.18</v>
      </c>
      <c r="V130">
        <v>0.8</v>
      </c>
      <c r="W130">
        <v>18</v>
      </c>
      <c r="X130">
        <v>129.6</v>
      </c>
      <c r="Y130">
        <v>890</v>
      </c>
      <c r="Z130">
        <v>0.3</v>
      </c>
      <c r="AA130">
        <v>100</v>
      </c>
      <c r="AB130" t="s">
        <v>1319</v>
      </c>
    </row>
    <row r="131" spans="1:28" x14ac:dyDescent="0.2">
      <c r="A131">
        <v>166</v>
      </c>
      <c r="B131" t="s">
        <v>349</v>
      </c>
      <c r="C131" t="s">
        <v>1127</v>
      </c>
      <c r="D131" t="s">
        <v>450</v>
      </c>
      <c r="E131" t="s">
        <v>31</v>
      </c>
      <c r="F131" t="s">
        <v>1175</v>
      </c>
      <c r="G131">
        <v>1</v>
      </c>
      <c r="H131">
        <v>112</v>
      </c>
      <c r="I131">
        <v>4.5</v>
      </c>
      <c r="J131">
        <v>0.2</v>
      </c>
      <c r="K131">
        <v>23.1</v>
      </c>
      <c r="L131">
        <v>0.6</v>
      </c>
      <c r="M131">
        <v>1.8</v>
      </c>
      <c r="O131">
        <v>0</v>
      </c>
      <c r="P131">
        <v>0.22</v>
      </c>
      <c r="Q131">
        <v>7.0000000000000007E-2</v>
      </c>
      <c r="R131">
        <v>0.3</v>
      </c>
      <c r="S131">
        <v>15</v>
      </c>
      <c r="T131">
        <v>42</v>
      </c>
      <c r="U131">
        <v>0.09</v>
      </c>
      <c r="V131">
        <v>1</v>
      </c>
      <c r="W131">
        <v>134</v>
      </c>
      <c r="X131">
        <v>665.7</v>
      </c>
      <c r="Y131">
        <v>46</v>
      </c>
      <c r="Z131">
        <v>0.4</v>
      </c>
      <c r="AA131">
        <v>88</v>
      </c>
      <c r="AB131" t="s">
        <v>1199</v>
      </c>
    </row>
    <row r="132" spans="1:28" x14ac:dyDescent="0.2">
      <c r="A132">
        <v>166</v>
      </c>
      <c r="B132" t="s">
        <v>349</v>
      </c>
      <c r="C132" t="s">
        <v>1127</v>
      </c>
      <c r="D132" t="s">
        <v>449</v>
      </c>
      <c r="E132" t="s">
        <v>31</v>
      </c>
      <c r="F132" t="s">
        <v>1173</v>
      </c>
      <c r="G132">
        <v>1</v>
      </c>
      <c r="H132">
        <v>46</v>
      </c>
      <c r="I132">
        <v>1.5</v>
      </c>
      <c r="J132">
        <v>0.3</v>
      </c>
      <c r="K132">
        <v>9.1999999999999993</v>
      </c>
      <c r="L132">
        <v>1.7</v>
      </c>
      <c r="M132">
        <v>1</v>
      </c>
      <c r="O132">
        <v>2</v>
      </c>
      <c r="P132">
        <v>0.03</v>
      </c>
      <c r="Q132">
        <v>0.04</v>
      </c>
      <c r="R132">
        <v>0.2</v>
      </c>
      <c r="S132">
        <v>2</v>
      </c>
      <c r="T132">
        <v>36</v>
      </c>
      <c r="U132">
        <v>0.06</v>
      </c>
      <c r="V132">
        <v>0.8</v>
      </c>
      <c r="W132">
        <v>40</v>
      </c>
      <c r="X132">
        <v>178.6</v>
      </c>
      <c r="Y132">
        <v>7</v>
      </c>
      <c r="Z132">
        <v>0.2</v>
      </c>
      <c r="AA132">
        <v>90</v>
      </c>
      <c r="AB132" t="s">
        <v>1200</v>
      </c>
    </row>
    <row r="133" spans="1:28" x14ac:dyDescent="0.2">
      <c r="A133">
        <v>166</v>
      </c>
      <c r="B133" t="s">
        <v>349</v>
      </c>
      <c r="C133" t="s">
        <v>1127</v>
      </c>
      <c r="D133" t="s">
        <v>1143</v>
      </c>
      <c r="E133" t="s">
        <v>31</v>
      </c>
      <c r="F133" t="s">
        <v>1144</v>
      </c>
      <c r="G133">
        <v>1</v>
      </c>
      <c r="H133">
        <v>23</v>
      </c>
      <c r="I133">
        <v>1</v>
      </c>
      <c r="J133">
        <v>0.1</v>
      </c>
      <c r="K133">
        <v>4.5999999999999996</v>
      </c>
      <c r="L133">
        <v>2</v>
      </c>
      <c r="M133">
        <v>1.3</v>
      </c>
      <c r="O133">
        <v>63</v>
      </c>
      <c r="P133">
        <v>0.03</v>
      </c>
      <c r="Q133">
        <v>7.0000000000000007E-2</v>
      </c>
      <c r="R133">
        <v>0.4</v>
      </c>
      <c r="S133">
        <v>11</v>
      </c>
      <c r="T133">
        <v>50</v>
      </c>
      <c r="U133">
        <v>0.08</v>
      </c>
      <c r="V133">
        <v>1</v>
      </c>
      <c r="W133">
        <v>40</v>
      </c>
      <c r="X133">
        <v>258.8</v>
      </c>
      <c r="Y133">
        <v>64.5</v>
      </c>
      <c r="Z133">
        <v>0.4</v>
      </c>
      <c r="AA133">
        <v>63</v>
      </c>
      <c r="AB133" t="s">
        <v>1145</v>
      </c>
    </row>
    <row r="134" spans="1:28" x14ac:dyDescent="0.2">
      <c r="A134">
        <v>166</v>
      </c>
      <c r="B134" t="s">
        <v>349</v>
      </c>
      <c r="C134" t="s">
        <v>1127</v>
      </c>
      <c r="D134" t="s">
        <v>1201</v>
      </c>
      <c r="E134" t="s">
        <v>285</v>
      </c>
      <c r="F134" t="s">
        <v>1202</v>
      </c>
      <c r="G134">
        <v>1</v>
      </c>
      <c r="H134">
        <v>0</v>
      </c>
      <c r="I134">
        <v>0</v>
      </c>
      <c r="J134">
        <v>0</v>
      </c>
      <c r="K134">
        <v>0</v>
      </c>
      <c r="L134">
        <v>0</v>
      </c>
      <c r="M134">
        <v>99</v>
      </c>
      <c r="N134">
        <v>0</v>
      </c>
      <c r="O134">
        <v>0</v>
      </c>
      <c r="P134">
        <v>0</v>
      </c>
      <c r="Q134">
        <v>0</v>
      </c>
      <c r="R134">
        <v>0</v>
      </c>
      <c r="S134">
        <v>0</v>
      </c>
      <c r="T134">
        <v>50</v>
      </c>
      <c r="U134">
        <v>0</v>
      </c>
      <c r="V134">
        <v>0</v>
      </c>
      <c r="W134">
        <v>0</v>
      </c>
      <c r="X134">
        <v>2</v>
      </c>
      <c r="Y134">
        <v>38700</v>
      </c>
      <c r="Z134">
        <v>0</v>
      </c>
      <c r="AA134">
        <v>100</v>
      </c>
      <c r="AB134" t="s">
        <v>1203</v>
      </c>
    </row>
    <row r="135" spans="1:28" x14ac:dyDescent="0.2">
      <c r="A135" s="5">
        <v>166</v>
      </c>
      <c r="B135" s="5" t="s">
        <v>349</v>
      </c>
      <c r="C135" s="5" t="s">
        <v>1127</v>
      </c>
      <c r="D135" s="5"/>
      <c r="E135" s="5" t="s">
        <v>1151</v>
      </c>
      <c r="F135" s="5" t="s">
        <v>1152</v>
      </c>
      <c r="G135" s="5">
        <f>SUM(G120:G134)</f>
        <v>100</v>
      </c>
      <c r="H135" s="5">
        <f t="shared" ref="H135:AA135" si="9">SUMPRODUCT($G$120:$G$134/100,H120:H134)</f>
        <v>151.76</v>
      </c>
      <c r="I135" s="5">
        <f t="shared" si="9"/>
        <v>5.3439999999999994</v>
      </c>
      <c r="J135" s="5">
        <f t="shared" si="9"/>
        <v>6.1549999999999994</v>
      </c>
      <c r="K135" s="5">
        <f t="shared" si="9"/>
        <v>4.6689999999999996</v>
      </c>
      <c r="L135" s="5">
        <f t="shared" si="9"/>
        <v>0.35000000000000009</v>
      </c>
      <c r="M135" s="5">
        <f t="shared" si="9"/>
        <v>2.3250000000000002</v>
      </c>
      <c r="N135" s="5">
        <f t="shared" si="9"/>
        <v>17.069999999999997</v>
      </c>
      <c r="O135" s="5">
        <f t="shared" si="9"/>
        <v>689.50999999999988</v>
      </c>
      <c r="P135" s="5">
        <f t="shared" si="9"/>
        <v>2.6700000000000002E-2</v>
      </c>
      <c r="Q135" s="5">
        <f t="shared" si="9"/>
        <v>9.2300000000000035E-2</v>
      </c>
      <c r="R135" s="5">
        <f t="shared" si="9"/>
        <v>1.3180000000000001</v>
      </c>
      <c r="S135" s="5">
        <f t="shared" si="9"/>
        <v>6.7700000000000005</v>
      </c>
      <c r="T135" s="5">
        <f t="shared" si="9"/>
        <v>40.47</v>
      </c>
      <c r="U135" s="5">
        <f t="shared" si="9"/>
        <v>0.37190000000000001</v>
      </c>
      <c r="V135" s="5">
        <f t="shared" si="9"/>
        <v>1.639</v>
      </c>
      <c r="W135" s="5">
        <f t="shared" si="9"/>
        <v>73.78</v>
      </c>
      <c r="X135" s="5">
        <f t="shared" si="9"/>
        <v>110.42299999999999</v>
      </c>
      <c r="Y135" s="5">
        <f t="shared" si="9"/>
        <v>626.39599999999996</v>
      </c>
      <c r="Z135" s="5">
        <f t="shared" si="9"/>
        <v>0.83800000000000008</v>
      </c>
      <c r="AA135" s="5">
        <f t="shared" si="9"/>
        <v>95.78</v>
      </c>
      <c r="AB135" s="6" t="s">
        <v>1320</v>
      </c>
    </row>
    <row r="136" spans="1:28" x14ac:dyDescent="0.2">
      <c r="A136">
        <v>167</v>
      </c>
      <c r="B136" t="s">
        <v>351</v>
      </c>
      <c r="C136" t="s">
        <v>1127</v>
      </c>
      <c r="D136" t="s">
        <v>1321</v>
      </c>
      <c r="E136" t="s">
        <v>285</v>
      </c>
      <c r="F136" t="s">
        <v>1322</v>
      </c>
      <c r="G136">
        <v>15</v>
      </c>
      <c r="H136">
        <v>440</v>
      </c>
      <c r="I136">
        <v>10.199999999999999</v>
      </c>
      <c r="J136">
        <v>17.600000000000001</v>
      </c>
      <c r="K136">
        <v>60.3</v>
      </c>
      <c r="L136">
        <v>2.9</v>
      </c>
      <c r="M136">
        <v>5.45</v>
      </c>
      <c r="N136">
        <v>0</v>
      </c>
      <c r="O136">
        <v>6</v>
      </c>
      <c r="P136">
        <v>0.44800000000000001</v>
      </c>
      <c r="Q136">
        <v>0.255</v>
      </c>
      <c r="R136">
        <v>5.4</v>
      </c>
      <c r="S136">
        <v>0.3</v>
      </c>
      <c r="T136">
        <v>21</v>
      </c>
      <c r="U136">
        <v>0.126</v>
      </c>
      <c r="V136">
        <v>4.1100000000000003</v>
      </c>
      <c r="W136">
        <v>115</v>
      </c>
      <c r="X136">
        <v>181</v>
      </c>
      <c r="Y136">
        <v>1860</v>
      </c>
      <c r="Z136">
        <v>0.6</v>
      </c>
      <c r="AA136">
        <v>100</v>
      </c>
      <c r="AB136" t="s">
        <v>1323</v>
      </c>
    </row>
    <row r="137" spans="1:28" x14ac:dyDescent="0.2">
      <c r="A137">
        <v>167</v>
      </c>
      <c r="B137" t="s">
        <v>351</v>
      </c>
      <c r="C137" t="s">
        <v>1127</v>
      </c>
      <c r="D137" t="s">
        <v>1227</v>
      </c>
      <c r="E137" t="s">
        <v>285</v>
      </c>
      <c r="F137" t="s">
        <v>1228</v>
      </c>
      <c r="G137">
        <v>85</v>
      </c>
      <c r="H137">
        <v>0</v>
      </c>
      <c r="I137">
        <v>0</v>
      </c>
      <c r="J137">
        <v>0</v>
      </c>
      <c r="K137">
        <v>0</v>
      </c>
      <c r="L137">
        <v>0</v>
      </c>
      <c r="M137">
        <v>7.0000000000000007E-2</v>
      </c>
      <c r="N137">
        <v>0</v>
      </c>
      <c r="O137">
        <v>0</v>
      </c>
      <c r="P137">
        <v>0</v>
      </c>
      <c r="Q137">
        <v>0</v>
      </c>
      <c r="R137">
        <v>0</v>
      </c>
      <c r="S137">
        <v>0</v>
      </c>
      <c r="T137">
        <v>10</v>
      </c>
      <c r="U137">
        <v>7.0000000000000001E-3</v>
      </c>
      <c r="V137">
        <v>0</v>
      </c>
      <c r="W137">
        <v>0</v>
      </c>
      <c r="X137">
        <v>0</v>
      </c>
      <c r="Y137">
        <v>2</v>
      </c>
      <c r="Z137">
        <v>0</v>
      </c>
      <c r="AA137">
        <v>100</v>
      </c>
      <c r="AB137" t="s">
        <v>1229</v>
      </c>
    </row>
    <row r="138" spans="1:28" x14ac:dyDescent="0.2">
      <c r="A138" s="5">
        <v>167</v>
      </c>
      <c r="B138" s="5" t="s">
        <v>351</v>
      </c>
      <c r="C138" s="5" t="s">
        <v>1127</v>
      </c>
      <c r="D138" s="5"/>
      <c r="E138" s="5" t="s">
        <v>1151</v>
      </c>
      <c r="F138" s="5" t="s">
        <v>1152</v>
      </c>
      <c r="G138" s="5">
        <f>SUM(G136:G137)</f>
        <v>100</v>
      </c>
      <c r="H138" s="5">
        <f t="shared" ref="H138:AA138" si="10">SUMPRODUCT($G$136:$G$137/100,H136:H137)</f>
        <v>66</v>
      </c>
      <c r="I138" s="5">
        <f t="shared" si="10"/>
        <v>1.5299999999999998</v>
      </c>
      <c r="J138" s="5">
        <f t="shared" si="10"/>
        <v>2.64</v>
      </c>
      <c r="K138" s="5">
        <f t="shared" si="10"/>
        <v>9.0449999999999999</v>
      </c>
      <c r="L138" s="5">
        <f t="shared" si="10"/>
        <v>0.435</v>
      </c>
      <c r="M138" s="5">
        <f t="shared" si="10"/>
        <v>0.877</v>
      </c>
      <c r="N138" s="5">
        <f t="shared" si="10"/>
        <v>0</v>
      </c>
      <c r="O138" s="5">
        <f t="shared" si="10"/>
        <v>0.89999999999999991</v>
      </c>
      <c r="P138" s="5">
        <f t="shared" si="10"/>
        <v>6.7199999999999996E-2</v>
      </c>
      <c r="Q138" s="5">
        <f t="shared" si="10"/>
        <v>3.8249999999999999E-2</v>
      </c>
      <c r="R138" s="5">
        <f t="shared" si="10"/>
        <v>0.81</v>
      </c>
      <c r="S138" s="5">
        <f t="shared" si="10"/>
        <v>4.4999999999999998E-2</v>
      </c>
      <c r="T138" s="5">
        <f t="shared" si="10"/>
        <v>11.65</v>
      </c>
      <c r="U138" s="5">
        <f t="shared" si="10"/>
        <v>2.4850000000000001E-2</v>
      </c>
      <c r="V138" s="5">
        <f t="shared" si="10"/>
        <v>0.61650000000000005</v>
      </c>
      <c r="W138" s="5">
        <f t="shared" si="10"/>
        <v>17.25</v>
      </c>
      <c r="X138" s="5">
        <f t="shared" si="10"/>
        <v>27.15</v>
      </c>
      <c r="Y138" s="5">
        <f t="shared" si="10"/>
        <v>280.7</v>
      </c>
      <c r="Z138" s="5">
        <f t="shared" si="10"/>
        <v>0.09</v>
      </c>
      <c r="AA138" s="5">
        <f t="shared" si="10"/>
        <v>100</v>
      </c>
      <c r="AB138" s="6" t="s">
        <v>1324</v>
      </c>
    </row>
    <row r="139" spans="1:28" x14ac:dyDescent="0.2">
      <c r="A139">
        <v>171</v>
      </c>
      <c r="B139" t="s">
        <v>359</v>
      </c>
      <c r="C139" t="s">
        <v>1127</v>
      </c>
      <c r="D139" t="s">
        <v>1325</v>
      </c>
      <c r="E139" t="s">
        <v>31</v>
      </c>
      <c r="F139" t="s">
        <v>1326</v>
      </c>
      <c r="G139">
        <v>20</v>
      </c>
      <c r="H139">
        <v>182</v>
      </c>
      <c r="I139">
        <v>32</v>
      </c>
      <c r="J139">
        <v>6</v>
      </c>
      <c r="K139">
        <v>0</v>
      </c>
      <c r="L139">
        <v>0</v>
      </c>
      <c r="M139">
        <v>2</v>
      </c>
      <c r="N139">
        <v>6</v>
      </c>
      <c r="P139">
        <v>0.12</v>
      </c>
      <c r="Q139">
        <v>0.23</v>
      </c>
      <c r="R139">
        <v>5.9</v>
      </c>
      <c r="S139">
        <v>0</v>
      </c>
      <c r="T139">
        <v>15</v>
      </c>
      <c r="U139">
        <v>0.03</v>
      </c>
      <c r="V139">
        <v>5</v>
      </c>
      <c r="W139">
        <v>300</v>
      </c>
      <c r="X139">
        <v>485.4</v>
      </c>
      <c r="Y139">
        <v>1620</v>
      </c>
      <c r="Z139">
        <v>5.0999999999999996</v>
      </c>
      <c r="AA139">
        <v>100</v>
      </c>
    </row>
    <row r="140" spans="1:28" x14ac:dyDescent="0.2">
      <c r="A140">
        <v>171</v>
      </c>
      <c r="B140" t="s">
        <v>359</v>
      </c>
      <c r="C140" t="s">
        <v>1127</v>
      </c>
      <c r="D140" t="s">
        <v>1327</v>
      </c>
      <c r="E140" t="s">
        <v>31</v>
      </c>
      <c r="F140" t="s">
        <v>1328</v>
      </c>
      <c r="G140">
        <v>20</v>
      </c>
      <c r="H140">
        <v>289</v>
      </c>
      <c r="I140">
        <v>16</v>
      </c>
      <c r="J140">
        <v>25</v>
      </c>
      <c r="K140">
        <v>0</v>
      </c>
      <c r="L140">
        <v>0</v>
      </c>
      <c r="M140">
        <v>6</v>
      </c>
      <c r="N140">
        <v>0</v>
      </c>
      <c r="O140">
        <v>52</v>
      </c>
      <c r="P140">
        <v>0.01</v>
      </c>
      <c r="Q140">
        <v>0.16</v>
      </c>
      <c r="R140">
        <v>2.7</v>
      </c>
      <c r="S140">
        <v>0</v>
      </c>
      <c r="T140">
        <v>10</v>
      </c>
      <c r="U140">
        <v>7.0000000000000007E-2</v>
      </c>
      <c r="V140">
        <v>4</v>
      </c>
      <c r="W140">
        <v>170</v>
      </c>
      <c r="X140">
        <v>94.4</v>
      </c>
      <c r="Y140">
        <v>794</v>
      </c>
      <c r="Z140">
        <v>4</v>
      </c>
      <c r="AA140">
        <v>100</v>
      </c>
    </row>
    <row r="141" spans="1:28" x14ac:dyDescent="0.2">
      <c r="A141">
        <v>171</v>
      </c>
      <c r="B141" t="s">
        <v>359</v>
      </c>
      <c r="C141" t="s">
        <v>1127</v>
      </c>
      <c r="D141" t="s">
        <v>1329</v>
      </c>
      <c r="E141" t="s">
        <v>31</v>
      </c>
      <c r="F141" t="s">
        <v>1330</v>
      </c>
      <c r="G141">
        <v>20</v>
      </c>
      <c r="H141">
        <v>448</v>
      </c>
      <c r="I141">
        <v>14.5</v>
      </c>
      <c r="J141">
        <v>42.3</v>
      </c>
      <c r="K141">
        <v>2.2999999999999998</v>
      </c>
      <c r="M141">
        <v>3.3</v>
      </c>
      <c r="N141">
        <v>0</v>
      </c>
      <c r="P141">
        <v>0.1</v>
      </c>
      <c r="Q141">
        <v>0.18</v>
      </c>
      <c r="R141">
        <v>4.9000000000000004</v>
      </c>
      <c r="S141">
        <v>0</v>
      </c>
      <c r="T141">
        <v>28</v>
      </c>
      <c r="U141">
        <v>0.06</v>
      </c>
      <c r="V141">
        <v>1.1000000000000001</v>
      </c>
      <c r="W141">
        <v>61</v>
      </c>
      <c r="X141">
        <v>284.5</v>
      </c>
      <c r="Y141">
        <v>765</v>
      </c>
      <c r="Z141">
        <v>1.7</v>
      </c>
      <c r="AA141">
        <v>100</v>
      </c>
      <c r="AB141" t="s">
        <v>1331</v>
      </c>
    </row>
    <row r="142" spans="1:28" x14ac:dyDescent="0.2">
      <c r="A142">
        <v>171</v>
      </c>
      <c r="B142" t="s">
        <v>359</v>
      </c>
      <c r="C142" t="s">
        <v>1127</v>
      </c>
      <c r="D142" t="s">
        <v>1332</v>
      </c>
      <c r="E142" t="s">
        <v>31</v>
      </c>
      <c r="F142" t="s">
        <v>1333</v>
      </c>
      <c r="G142">
        <v>20</v>
      </c>
      <c r="H142">
        <v>274</v>
      </c>
      <c r="I142">
        <v>16</v>
      </c>
      <c r="J142">
        <v>22</v>
      </c>
      <c r="K142">
        <v>3</v>
      </c>
      <c r="L142">
        <v>2.2999999999999998</v>
      </c>
      <c r="M142">
        <v>2.4</v>
      </c>
      <c r="N142">
        <v>1201</v>
      </c>
      <c r="P142">
        <v>0.2</v>
      </c>
      <c r="Q142">
        <v>0.96</v>
      </c>
      <c r="R142">
        <v>4</v>
      </c>
      <c r="S142">
        <v>0</v>
      </c>
      <c r="T142">
        <v>20</v>
      </c>
      <c r="U142">
        <v>0.22</v>
      </c>
      <c r="V142">
        <v>4</v>
      </c>
      <c r="W142">
        <v>150</v>
      </c>
      <c r="X142">
        <v>158.80000000000001</v>
      </c>
      <c r="Y142">
        <v>654</v>
      </c>
      <c r="Z142">
        <v>2.2000000000000002</v>
      </c>
      <c r="AA142">
        <v>100</v>
      </c>
      <c r="AB142" t="s">
        <v>1334</v>
      </c>
    </row>
    <row r="143" spans="1:28" x14ac:dyDescent="0.2">
      <c r="A143">
        <v>171</v>
      </c>
      <c r="B143" t="s">
        <v>359</v>
      </c>
      <c r="C143" t="s">
        <v>1127</v>
      </c>
      <c r="D143" t="s">
        <v>1335</v>
      </c>
      <c r="E143" t="s">
        <v>285</v>
      </c>
      <c r="F143" t="s">
        <v>1336</v>
      </c>
      <c r="G143">
        <v>20</v>
      </c>
      <c r="H143">
        <v>261</v>
      </c>
      <c r="I143">
        <v>14.36</v>
      </c>
      <c r="J143">
        <v>15.42</v>
      </c>
      <c r="K143">
        <v>16.239999999999998</v>
      </c>
      <c r="L143">
        <v>0.7</v>
      </c>
      <c r="M143">
        <v>2.09</v>
      </c>
      <c r="N143">
        <v>16</v>
      </c>
      <c r="O143">
        <v>0</v>
      </c>
      <c r="P143">
        <v>0.106</v>
      </c>
      <c r="Q143">
        <v>5.5E-2</v>
      </c>
      <c r="R143">
        <v>6.7359999999999998</v>
      </c>
      <c r="S143">
        <v>0</v>
      </c>
      <c r="T143">
        <v>38</v>
      </c>
      <c r="U143">
        <v>0.13900000000000001</v>
      </c>
      <c r="V143">
        <v>1.43</v>
      </c>
      <c r="W143">
        <v>213</v>
      </c>
      <c r="X143">
        <v>281</v>
      </c>
      <c r="Y143">
        <v>538</v>
      </c>
      <c r="Z143">
        <v>0.75</v>
      </c>
      <c r="AA143">
        <v>100</v>
      </c>
      <c r="AB143" t="s">
        <v>1337</v>
      </c>
    </row>
    <row r="144" spans="1:28" x14ac:dyDescent="0.2">
      <c r="A144" s="5">
        <v>171</v>
      </c>
      <c r="B144" s="5" t="s">
        <v>359</v>
      </c>
      <c r="C144" s="5" t="s">
        <v>1127</v>
      </c>
      <c r="D144" s="5"/>
      <c r="E144" s="5" t="s">
        <v>1151</v>
      </c>
      <c r="F144" s="5" t="s">
        <v>1152</v>
      </c>
      <c r="G144" s="5">
        <f>SUM(G139:G143)</f>
        <v>100</v>
      </c>
      <c r="H144" s="5">
        <f t="shared" ref="H144:AA144" si="11">SUMPRODUCT($G$139:$G$143/100,H139:H143)</f>
        <v>290.8</v>
      </c>
      <c r="I144" s="5">
        <f t="shared" si="11"/>
        <v>18.572000000000003</v>
      </c>
      <c r="J144" s="5">
        <f t="shared" si="11"/>
        <v>22.144000000000002</v>
      </c>
      <c r="K144" s="5">
        <f t="shared" si="11"/>
        <v>4.3079999999999998</v>
      </c>
      <c r="L144" s="5">
        <f t="shared" si="11"/>
        <v>0.6</v>
      </c>
      <c r="M144" s="5">
        <f t="shared" si="11"/>
        <v>3.1580000000000004</v>
      </c>
      <c r="N144" s="5">
        <f t="shared" si="11"/>
        <v>244.6</v>
      </c>
      <c r="O144" s="5">
        <f t="shared" si="11"/>
        <v>10.4</v>
      </c>
      <c r="P144" s="5">
        <f t="shared" si="11"/>
        <v>0.10720000000000002</v>
      </c>
      <c r="Q144" s="5">
        <f t="shared" si="11"/>
        <v>0.31700000000000006</v>
      </c>
      <c r="R144" s="5">
        <f t="shared" si="11"/>
        <v>4.8472</v>
      </c>
      <c r="S144" s="5">
        <f t="shared" si="11"/>
        <v>0</v>
      </c>
      <c r="T144" s="5">
        <f t="shared" si="11"/>
        <v>22.200000000000003</v>
      </c>
      <c r="U144" s="5">
        <f t="shared" si="11"/>
        <v>0.10380000000000002</v>
      </c>
      <c r="V144" s="5">
        <f t="shared" si="11"/>
        <v>3.1060000000000003</v>
      </c>
      <c r="W144" s="5">
        <f t="shared" si="11"/>
        <v>178.79999999999998</v>
      </c>
      <c r="X144" s="5">
        <f t="shared" si="11"/>
        <v>260.82</v>
      </c>
      <c r="Y144" s="5">
        <f t="shared" si="11"/>
        <v>874.19999999999993</v>
      </c>
      <c r="Z144" s="5">
        <f t="shared" si="11"/>
        <v>2.75</v>
      </c>
      <c r="AA144" s="5">
        <f t="shared" si="11"/>
        <v>100</v>
      </c>
      <c r="AB144" s="6" t="s">
        <v>1338</v>
      </c>
    </row>
    <row r="145" spans="1:28" x14ac:dyDescent="0.2">
      <c r="A145">
        <v>172</v>
      </c>
      <c r="B145" t="s">
        <v>361</v>
      </c>
      <c r="C145" t="s">
        <v>1127</v>
      </c>
      <c r="D145" t="s">
        <v>1339</v>
      </c>
      <c r="E145" t="s">
        <v>31</v>
      </c>
      <c r="F145" t="s">
        <v>1340</v>
      </c>
      <c r="G145">
        <v>15</v>
      </c>
      <c r="H145">
        <v>357</v>
      </c>
      <c r="I145">
        <v>8.4</v>
      </c>
      <c r="J145">
        <v>1.7</v>
      </c>
      <c r="K145">
        <v>77.099999999999994</v>
      </c>
      <c r="L145">
        <v>0.2</v>
      </c>
      <c r="M145">
        <v>0.8</v>
      </c>
      <c r="N145">
        <v>0</v>
      </c>
      <c r="O145">
        <v>0</v>
      </c>
      <c r="P145">
        <v>0.2</v>
      </c>
      <c r="Q145">
        <v>0.08</v>
      </c>
      <c r="R145">
        <v>2.6</v>
      </c>
      <c r="S145">
        <v>0</v>
      </c>
      <c r="T145">
        <v>147</v>
      </c>
      <c r="U145">
        <v>0.1</v>
      </c>
      <c r="V145">
        <v>1.8</v>
      </c>
      <c r="W145">
        <v>81</v>
      </c>
      <c r="X145">
        <v>71</v>
      </c>
      <c r="Y145">
        <v>27</v>
      </c>
      <c r="Z145">
        <v>0.5</v>
      </c>
      <c r="AA145">
        <v>100</v>
      </c>
      <c r="AB145" t="s">
        <v>1341</v>
      </c>
    </row>
    <row r="146" spans="1:28" x14ac:dyDescent="0.2">
      <c r="A146">
        <v>172</v>
      </c>
      <c r="B146" t="s">
        <v>361</v>
      </c>
      <c r="C146" t="s">
        <v>1127</v>
      </c>
      <c r="D146" t="s">
        <v>1227</v>
      </c>
      <c r="E146" t="s">
        <v>285</v>
      </c>
      <c r="F146" t="s">
        <v>1228</v>
      </c>
      <c r="G146">
        <v>70</v>
      </c>
      <c r="H146">
        <v>0</v>
      </c>
      <c r="I146">
        <v>0</v>
      </c>
      <c r="J146">
        <v>0</v>
      </c>
      <c r="K146">
        <v>0</v>
      </c>
      <c r="L146">
        <v>0</v>
      </c>
      <c r="M146">
        <v>7.0000000000000007E-2</v>
      </c>
      <c r="N146">
        <v>0</v>
      </c>
      <c r="O146">
        <v>0</v>
      </c>
      <c r="P146">
        <v>0</v>
      </c>
      <c r="Q146">
        <v>0</v>
      </c>
      <c r="R146">
        <v>0</v>
      </c>
      <c r="S146">
        <v>0</v>
      </c>
      <c r="T146">
        <v>10</v>
      </c>
      <c r="U146">
        <v>7.0000000000000001E-3</v>
      </c>
      <c r="V146">
        <v>0</v>
      </c>
      <c r="W146">
        <v>0</v>
      </c>
      <c r="X146">
        <v>0</v>
      </c>
      <c r="Y146">
        <v>2</v>
      </c>
      <c r="Z146">
        <v>0</v>
      </c>
      <c r="AA146">
        <v>100</v>
      </c>
      <c r="AB146" t="s">
        <v>1229</v>
      </c>
    </row>
    <row r="147" spans="1:28" x14ac:dyDescent="0.2">
      <c r="A147">
        <v>172</v>
      </c>
      <c r="B147" t="s">
        <v>361</v>
      </c>
      <c r="C147" t="s">
        <v>1127</v>
      </c>
      <c r="D147" t="s">
        <v>1061</v>
      </c>
      <c r="E147" t="s">
        <v>31</v>
      </c>
      <c r="F147" t="s">
        <v>1307</v>
      </c>
      <c r="G147">
        <v>7</v>
      </c>
      <c r="H147">
        <v>298</v>
      </c>
      <c r="I147">
        <v>18.2</v>
      </c>
      <c r="J147">
        <v>25</v>
      </c>
      <c r="K147">
        <v>0</v>
      </c>
      <c r="L147">
        <v>0</v>
      </c>
      <c r="M147">
        <v>0.9</v>
      </c>
      <c r="N147">
        <v>245</v>
      </c>
      <c r="O147">
        <v>0</v>
      </c>
      <c r="P147">
        <v>0.08</v>
      </c>
      <c r="Q147">
        <v>0.14000000000000001</v>
      </c>
      <c r="R147">
        <v>10.4</v>
      </c>
      <c r="S147">
        <v>0</v>
      </c>
      <c r="T147">
        <v>14</v>
      </c>
      <c r="U147">
        <v>0.11</v>
      </c>
      <c r="V147">
        <v>1.5</v>
      </c>
      <c r="W147">
        <v>200</v>
      </c>
      <c r="X147">
        <v>385.9</v>
      </c>
      <c r="Y147">
        <v>109</v>
      </c>
      <c r="Z147">
        <v>0.6</v>
      </c>
      <c r="AA147">
        <v>58</v>
      </c>
      <c r="AB147" t="s">
        <v>1342</v>
      </c>
    </row>
    <row r="148" spans="1:28" x14ac:dyDescent="0.2">
      <c r="A148">
        <v>172</v>
      </c>
      <c r="B148" t="s">
        <v>361</v>
      </c>
      <c r="C148" t="s">
        <v>1127</v>
      </c>
      <c r="D148" t="s">
        <v>476</v>
      </c>
      <c r="E148" t="s">
        <v>31</v>
      </c>
      <c r="F148" t="s">
        <v>1197</v>
      </c>
      <c r="G148">
        <v>2</v>
      </c>
      <c r="H148">
        <v>884</v>
      </c>
      <c r="I148">
        <v>0</v>
      </c>
      <c r="J148">
        <v>100</v>
      </c>
      <c r="K148">
        <v>0</v>
      </c>
      <c r="L148">
        <v>0</v>
      </c>
      <c r="M148">
        <v>0</v>
      </c>
      <c r="O148">
        <v>18181</v>
      </c>
      <c r="P148">
        <v>0</v>
      </c>
      <c r="Q148">
        <v>0</v>
      </c>
      <c r="R148">
        <v>0</v>
      </c>
      <c r="S148">
        <v>0</v>
      </c>
      <c r="T148">
        <v>0</v>
      </c>
      <c r="U148">
        <v>0</v>
      </c>
      <c r="V148">
        <v>0</v>
      </c>
      <c r="W148">
        <v>0</v>
      </c>
      <c r="X148">
        <v>0</v>
      </c>
      <c r="Y148">
        <v>0</v>
      </c>
      <c r="Z148">
        <v>0</v>
      </c>
      <c r="AA148">
        <v>100</v>
      </c>
    </row>
    <row r="149" spans="1:28" x14ac:dyDescent="0.2">
      <c r="A149">
        <v>172</v>
      </c>
      <c r="B149" t="s">
        <v>361</v>
      </c>
      <c r="C149" t="s">
        <v>1127</v>
      </c>
      <c r="D149" t="s">
        <v>525</v>
      </c>
      <c r="E149" t="s">
        <v>31</v>
      </c>
      <c r="F149" t="s">
        <v>297</v>
      </c>
      <c r="G149">
        <v>1</v>
      </c>
      <c r="H149">
        <v>71</v>
      </c>
      <c r="I149">
        <v>5.7</v>
      </c>
      <c r="J149">
        <v>1.3</v>
      </c>
      <c r="K149">
        <v>9</v>
      </c>
      <c r="L149">
        <v>0</v>
      </c>
      <c r="M149">
        <v>21</v>
      </c>
      <c r="N149">
        <v>0</v>
      </c>
      <c r="P149">
        <v>0</v>
      </c>
      <c r="S149">
        <v>0</v>
      </c>
      <c r="T149">
        <v>123</v>
      </c>
      <c r="U149">
        <v>0.04</v>
      </c>
      <c r="V149">
        <v>5.7</v>
      </c>
      <c r="W149">
        <v>96</v>
      </c>
      <c r="Y149">
        <v>1114</v>
      </c>
      <c r="AA149">
        <v>100</v>
      </c>
    </row>
    <row r="150" spans="1:28" x14ac:dyDescent="0.2">
      <c r="A150">
        <v>172</v>
      </c>
      <c r="B150" t="s">
        <v>361</v>
      </c>
      <c r="C150" t="s">
        <v>1127</v>
      </c>
      <c r="D150" t="s">
        <v>1343</v>
      </c>
      <c r="E150" t="s">
        <v>31</v>
      </c>
      <c r="F150" t="s">
        <v>1344</v>
      </c>
      <c r="G150">
        <v>2</v>
      </c>
      <c r="H150">
        <v>477</v>
      </c>
      <c r="I150">
        <v>4.7</v>
      </c>
      <c r="J150">
        <v>20.5</v>
      </c>
      <c r="K150">
        <v>68.5</v>
      </c>
      <c r="L150">
        <v>5</v>
      </c>
      <c r="M150">
        <v>1.9</v>
      </c>
      <c r="O150">
        <v>0</v>
      </c>
      <c r="P150">
        <v>0.2</v>
      </c>
      <c r="Q150">
        <v>0</v>
      </c>
      <c r="R150">
        <v>0.9</v>
      </c>
      <c r="S150">
        <v>0</v>
      </c>
      <c r="T150">
        <v>24</v>
      </c>
      <c r="U150">
        <v>0.1</v>
      </c>
      <c r="V150">
        <v>0.9</v>
      </c>
      <c r="W150">
        <v>188</v>
      </c>
      <c r="X150">
        <v>109</v>
      </c>
      <c r="Y150">
        <v>449</v>
      </c>
      <c r="Z150">
        <v>0.2</v>
      </c>
      <c r="AA150">
        <v>100</v>
      </c>
    </row>
    <row r="151" spans="1:28" x14ac:dyDescent="0.2">
      <c r="A151">
        <v>172</v>
      </c>
      <c r="B151" t="s">
        <v>361</v>
      </c>
      <c r="C151" t="s">
        <v>1127</v>
      </c>
      <c r="D151" t="s">
        <v>1143</v>
      </c>
      <c r="E151" t="s">
        <v>31</v>
      </c>
      <c r="F151" t="s">
        <v>1144</v>
      </c>
      <c r="G151">
        <v>1</v>
      </c>
      <c r="H151">
        <v>23</v>
      </c>
      <c r="I151">
        <v>1</v>
      </c>
      <c r="J151">
        <v>0.1</v>
      </c>
      <c r="K151">
        <v>4.5999999999999996</v>
      </c>
      <c r="L151">
        <v>2</v>
      </c>
      <c r="M151">
        <v>1.3</v>
      </c>
      <c r="O151">
        <v>63</v>
      </c>
      <c r="P151">
        <v>0.03</v>
      </c>
      <c r="Q151">
        <v>7.0000000000000007E-2</v>
      </c>
      <c r="R151">
        <v>0.4</v>
      </c>
      <c r="S151">
        <v>11</v>
      </c>
      <c r="T151">
        <v>50</v>
      </c>
      <c r="U151">
        <v>0.08</v>
      </c>
      <c r="V151">
        <v>1</v>
      </c>
      <c r="W151">
        <v>40</v>
      </c>
      <c r="X151">
        <v>258.8</v>
      </c>
      <c r="Y151">
        <v>64.5</v>
      </c>
      <c r="Z151">
        <v>0.4</v>
      </c>
      <c r="AA151">
        <v>63</v>
      </c>
    </row>
    <row r="152" spans="1:28" x14ac:dyDescent="0.2">
      <c r="A152">
        <v>172</v>
      </c>
      <c r="B152" t="s">
        <v>361</v>
      </c>
      <c r="C152" t="s">
        <v>1127</v>
      </c>
      <c r="D152" t="s">
        <v>1201</v>
      </c>
      <c r="E152" t="s">
        <v>285</v>
      </c>
      <c r="F152" t="s">
        <v>1345</v>
      </c>
      <c r="G152">
        <v>1</v>
      </c>
      <c r="H152">
        <v>0</v>
      </c>
      <c r="I152">
        <v>0</v>
      </c>
      <c r="J152">
        <v>0</v>
      </c>
      <c r="K152">
        <v>0</v>
      </c>
      <c r="L152">
        <v>0</v>
      </c>
      <c r="M152">
        <v>99</v>
      </c>
      <c r="N152">
        <v>0</v>
      </c>
      <c r="O152">
        <v>0</v>
      </c>
      <c r="P152">
        <v>0</v>
      </c>
      <c r="Q152">
        <v>0</v>
      </c>
      <c r="R152">
        <v>0</v>
      </c>
      <c r="S152">
        <v>0</v>
      </c>
      <c r="T152">
        <v>50</v>
      </c>
      <c r="U152">
        <v>0</v>
      </c>
      <c r="V152">
        <v>0</v>
      </c>
      <c r="W152">
        <v>0</v>
      </c>
      <c r="X152">
        <v>2</v>
      </c>
      <c r="Y152">
        <v>38700</v>
      </c>
      <c r="Z152">
        <v>0</v>
      </c>
      <c r="AA152">
        <v>100</v>
      </c>
    </row>
    <row r="153" spans="1:28" x14ac:dyDescent="0.2">
      <c r="A153">
        <v>172</v>
      </c>
      <c r="B153" t="s">
        <v>361</v>
      </c>
      <c r="C153" t="s">
        <v>1127</v>
      </c>
      <c r="D153" t="s">
        <v>1213</v>
      </c>
      <c r="E153" t="s">
        <v>31</v>
      </c>
      <c r="F153" t="s">
        <v>1214</v>
      </c>
      <c r="G153">
        <v>1</v>
      </c>
      <c r="H153">
        <v>51</v>
      </c>
      <c r="I153">
        <v>1.5</v>
      </c>
      <c r="J153">
        <v>1</v>
      </c>
      <c r="K153">
        <v>10.1</v>
      </c>
      <c r="L153">
        <v>12</v>
      </c>
      <c r="M153">
        <v>1.2</v>
      </c>
      <c r="O153">
        <v>0</v>
      </c>
      <c r="P153">
        <v>0.02</v>
      </c>
      <c r="Q153">
        <v>0.17</v>
      </c>
      <c r="R153">
        <v>3.3</v>
      </c>
      <c r="S153">
        <v>4</v>
      </c>
      <c r="T153">
        <v>21</v>
      </c>
      <c r="U153">
        <v>0.48</v>
      </c>
      <c r="V153">
        <v>1.6</v>
      </c>
      <c r="W153">
        <v>39</v>
      </c>
      <c r="X153">
        <v>441.7</v>
      </c>
      <c r="Y153">
        <v>12</v>
      </c>
      <c r="Z153">
        <v>0.7</v>
      </c>
      <c r="AA153">
        <v>97</v>
      </c>
      <c r="AB153" t="s">
        <v>1346</v>
      </c>
    </row>
    <row r="154" spans="1:28" x14ac:dyDescent="0.2">
      <c r="A154" s="5">
        <v>172</v>
      </c>
      <c r="B154" s="5" t="s">
        <v>361</v>
      </c>
      <c r="C154" s="5" t="s">
        <v>1127</v>
      </c>
      <c r="D154" s="5"/>
      <c r="E154" s="5" t="s">
        <v>1151</v>
      </c>
      <c r="F154" s="5" t="s">
        <v>1152</v>
      </c>
      <c r="G154" s="5">
        <f>SUM(G145:G153)</f>
        <v>100</v>
      </c>
      <c r="H154" s="5">
        <f t="shared" ref="H154:AA154" si="12">SUMPRODUCT($G$145:$G$153/100,H145:H153)</f>
        <v>103.08000000000001</v>
      </c>
      <c r="I154" s="5">
        <f t="shared" si="12"/>
        <v>2.7099999999999995</v>
      </c>
      <c r="J154" s="5">
        <f t="shared" si="12"/>
        <v>4.4390000000000009</v>
      </c>
      <c r="K154" s="5">
        <f t="shared" si="12"/>
        <v>13.171999999999999</v>
      </c>
      <c r="L154" s="5">
        <f t="shared" si="12"/>
        <v>0.27</v>
      </c>
      <c r="M154" s="5">
        <f t="shared" si="12"/>
        <v>1.4949999999999999</v>
      </c>
      <c r="N154" s="5">
        <f t="shared" si="12"/>
        <v>17.150000000000002</v>
      </c>
      <c r="O154" s="5">
        <f t="shared" si="12"/>
        <v>364.25</v>
      </c>
      <c r="P154" s="5">
        <f t="shared" si="12"/>
        <v>4.0099999999999997E-2</v>
      </c>
      <c r="Q154" s="5">
        <f t="shared" si="12"/>
        <v>2.4199999999999999E-2</v>
      </c>
      <c r="R154" s="5">
        <f t="shared" si="12"/>
        <v>1.173</v>
      </c>
      <c r="S154" s="5">
        <f t="shared" si="12"/>
        <v>0.15</v>
      </c>
      <c r="T154" s="5">
        <f t="shared" si="12"/>
        <v>32.950000000000003</v>
      </c>
      <c r="U154" s="5">
        <f t="shared" si="12"/>
        <v>3.5600000000000007E-2</v>
      </c>
      <c r="V154" s="5">
        <f t="shared" si="12"/>
        <v>0.47600000000000003</v>
      </c>
      <c r="W154" s="5">
        <f t="shared" si="12"/>
        <v>31.660000000000004</v>
      </c>
      <c r="X154" s="5">
        <f t="shared" si="12"/>
        <v>46.868000000000009</v>
      </c>
      <c r="Y154" s="5">
        <f t="shared" si="12"/>
        <v>420.96500000000003</v>
      </c>
      <c r="Z154" s="5">
        <f t="shared" si="12"/>
        <v>0.13200000000000001</v>
      </c>
      <c r="AA154" s="5">
        <f t="shared" si="12"/>
        <v>96.66</v>
      </c>
      <c r="AB154" s="6" t="s">
        <v>1338</v>
      </c>
    </row>
    <row r="155" spans="1:28" x14ac:dyDescent="0.2">
      <c r="A155">
        <v>173</v>
      </c>
      <c r="B155" t="s">
        <v>363</v>
      </c>
      <c r="C155" t="s">
        <v>1127</v>
      </c>
      <c r="D155" t="s">
        <v>1347</v>
      </c>
      <c r="E155" t="s">
        <v>59</v>
      </c>
      <c r="F155" t="s">
        <v>1348</v>
      </c>
      <c r="G155">
        <v>12</v>
      </c>
      <c r="H155">
        <v>120</v>
      </c>
      <c r="I155">
        <v>19.600000000000001</v>
      </c>
      <c r="J155">
        <v>4.5999999999999996</v>
      </c>
      <c r="K155">
        <v>0</v>
      </c>
      <c r="L155">
        <v>0</v>
      </c>
      <c r="M155">
        <v>1.5</v>
      </c>
      <c r="N155">
        <v>12</v>
      </c>
      <c r="O155">
        <v>0</v>
      </c>
      <c r="P155">
        <v>0.08</v>
      </c>
      <c r="Q155">
        <v>90</v>
      </c>
      <c r="R155">
        <v>12</v>
      </c>
      <c r="S155">
        <v>0</v>
      </c>
      <c r="T155">
        <v>18.350000000000001</v>
      </c>
      <c r="U155">
        <v>3.1300000000000001E-2</v>
      </c>
      <c r="V155">
        <v>0.65</v>
      </c>
      <c r="W155">
        <v>231.6</v>
      </c>
      <c r="X155">
        <v>373.5</v>
      </c>
      <c r="Y155">
        <v>51.6</v>
      </c>
      <c r="Z155">
        <v>0.78</v>
      </c>
      <c r="AA155">
        <v>51.7067264573991</v>
      </c>
      <c r="AB155" t="s">
        <v>1349</v>
      </c>
    </row>
    <row r="156" spans="1:28" x14ac:dyDescent="0.2">
      <c r="A156">
        <v>173</v>
      </c>
      <c r="B156" t="s">
        <v>363</v>
      </c>
      <c r="C156" t="s">
        <v>1127</v>
      </c>
      <c r="D156" t="s">
        <v>1311</v>
      </c>
      <c r="E156" t="s">
        <v>31</v>
      </c>
      <c r="F156" t="s">
        <v>1350</v>
      </c>
      <c r="G156">
        <v>9</v>
      </c>
      <c r="H156">
        <v>363</v>
      </c>
      <c r="I156">
        <v>1.1000000000000001</v>
      </c>
      <c r="J156">
        <v>0.5</v>
      </c>
      <c r="K156">
        <v>88.2</v>
      </c>
      <c r="L156">
        <v>0.9</v>
      </c>
      <c r="M156">
        <v>1.1000000000000001</v>
      </c>
      <c r="O156">
        <v>0</v>
      </c>
      <c r="P156">
        <v>0.04</v>
      </c>
      <c r="Q156">
        <v>0</v>
      </c>
      <c r="R156">
        <v>0.4</v>
      </c>
      <c r="S156">
        <v>0</v>
      </c>
      <c r="T156">
        <v>84</v>
      </c>
      <c r="U156">
        <v>0</v>
      </c>
      <c r="V156">
        <v>1</v>
      </c>
      <c r="W156">
        <v>125</v>
      </c>
      <c r="X156">
        <v>7.1</v>
      </c>
      <c r="Y156">
        <v>1</v>
      </c>
      <c r="Z156">
        <v>0.1</v>
      </c>
      <c r="AA156">
        <v>100</v>
      </c>
      <c r="AB156" t="s">
        <v>1351</v>
      </c>
    </row>
    <row r="157" spans="1:28" x14ac:dyDescent="0.2">
      <c r="A157">
        <v>173</v>
      </c>
      <c r="B157" t="s">
        <v>363</v>
      </c>
      <c r="C157" t="s">
        <v>1127</v>
      </c>
      <c r="D157" t="s">
        <v>1232</v>
      </c>
      <c r="E157" t="s">
        <v>31</v>
      </c>
      <c r="F157" t="s">
        <v>1352</v>
      </c>
      <c r="G157">
        <v>8</v>
      </c>
      <c r="H157">
        <v>80</v>
      </c>
      <c r="I157">
        <v>10.9</v>
      </c>
      <c r="J157">
        <v>4.7</v>
      </c>
      <c r="K157">
        <v>0.8</v>
      </c>
      <c r="L157">
        <v>0.1</v>
      </c>
      <c r="M157">
        <v>1.4</v>
      </c>
      <c r="O157">
        <v>118</v>
      </c>
      <c r="P157">
        <v>0.01</v>
      </c>
      <c r="Q157">
        <v>0.08</v>
      </c>
      <c r="R157">
        <v>0.1</v>
      </c>
      <c r="T157">
        <v>223</v>
      </c>
      <c r="U157">
        <v>0.19</v>
      </c>
      <c r="V157">
        <v>3.4</v>
      </c>
      <c r="W157">
        <v>183</v>
      </c>
      <c r="X157">
        <v>50.6</v>
      </c>
      <c r="Y157">
        <v>2</v>
      </c>
      <c r="Z157">
        <v>0.8</v>
      </c>
      <c r="AA157">
        <v>100</v>
      </c>
      <c r="AB157" t="s">
        <v>1353</v>
      </c>
    </row>
    <row r="158" spans="1:28" x14ac:dyDescent="0.2">
      <c r="A158">
        <v>173</v>
      </c>
      <c r="B158" t="s">
        <v>363</v>
      </c>
      <c r="C158" t="s">
        <v>1127</v>
      </c>
      <c r="D158" t="s">
        <v>1135</v>
      </c>
      <c r="E158" t="s">
        <v>31</v>
      </c>
      <c r="F158" t="s">
        <v>1354</v>
      </c>
      <c r="G158">
        <v>10</v>
      </c>
      <c r="H158">
        <v>62</v>
      </c>
      <c r="I158">
        <v>2.1</v>
      </c>
      <c r="J158">
        <v>0.2</v>
      </c>
      <c r="K158">
        <v>13.5</v>
      </c>
      <c r="L158">
        <v>0.5</v>
      </c>
      <c r="M158">
        <v>0.8</v>
      </c>
      <c r="N158">
        <v>0</v>
      </c>
      <c r="O158">
        <v>0</v>
      </c>
      <c r="P158">
        <v>0.09</v>
      </c>
      <c r="Q158">
        <v>0.1</v>
      </c>
      <c r="R158">
        <v>1</v>
      </c>
      <c r="S158">
        <v>21</v>
      </c>
      <c r="T158">
        <v>63</v>
      </c>
      <c r="U158">
        <v>0.4</v>
      </c>
      <c r="V158">
        <v>0.7</v>
      </c>
      <c r="W158">
        <v>58</v>
      </c>
      <c r="X158">
        <v>396</v>
      </c>
      <c r="Y158">
        <v>7</v>
      </c>
      <c r="Z158">
        <v>0.3</v>
      </c>
      <c r="AA158">
        <v>85</v>
      </c>
      <c r="AB158" t="s">
        <v>1137</v>
      </c>
    </row>
    <row r="159" spans="1:28" x14ac:dyDescent="0.2">
      <c r="A159">
        <v>173</v>
      </c>
      <c r="B159" t="s">
        <v>363</v>
      </c>
      <c r="C159" t="s">
        <v>1127</v>
      </c>
      <c r="D159" t="s">
        <v>1130</v>
      </c>
      <c r="E159" t="s">
        <v>31</v>
      </c>
      <c r="F159" t="s">
        <v>1355</v>
      </c>
      <c r="G159">
        <v>6</v>
      </c>
      <c r="H159">
        <v>51</v>
      </c>
      <c r="I159">
        <v>2.5</v>
      </c>
      <c r="J159">
        <v>1.1000000000000001</v>
      </c>
      <c r="K159">
        <v>8</v>
      </c>
      <c r="L159">
        <v>3.4</v>
      </c>
      <c r="M159">
        <v>2.2000000000000002</v>
      </c>
      <c r="O159">
        <v>9999</v>
      </c>
      <c r="P159">
        <v>0.4</v>
      </c>
      <c r="Q159">
        <v>0.1</v>
      </c>
      <c r="R159">
        <v>0.2</v>
      </c>
      <c r="S159">
        <v>16</v>
      </c>
      <c r="T159">
        <v>100</v>
      </c>
      <c r="U159">
        <v>0.9</v>
      </c>
      <c r="V159">
        <v>3.4</v>
      </c>
      <c r="W159">
        <v>50</v>
      </c>
      <c r="X159">
        <v>100</v>
      </c>
      <c r="Y159">
        <v>50</v>
      </c>
      <c r="Z159">
        <v>0.6</v>
      </c>
      <c r="AA159">
        <v>75</v>
      </c>
      <c r="AB159" t="s">
        <v>1132</v>
      </c>
    </row>
    <row r="160" spans="1:28" x14ac:dyDescent="0.2">
      <c r="A160">
        <v>173</v>
      </c>
      <c r="B160" t="s">
        <v>363</v>
      </c>
      <c r="C160" t="s">
        <v>1127</v>
      </c>
      <c r="D160" t="s">
        <v>1066</v>
      </c>
      <c r="E160" t="s">
        <v>31</v>
      </c>
      <c r="F160" t="s">
        <v>1356</v>
      </c>
      <c r="G160">
        <v>4</v>
      </c>
      <c r="H160">
        <v>154</v>
      </c>
      <c r="I160">
        <v>12.4</v>
      </c>
      <c r="J160">
        <v>10.8</v>
      </c>
      <c r="K160">
        <v>0.7</v>
      </c>
      <c r="L160">
        <v>0</v>
      </c>
      <c r="M160">
        <v>0.8</v>
      </c>
      <c r="N160">
        <v>61</v>
      </c>
      <c r="O160">
        <v>22</v>
      </c>
      <c r="P160">
        <v>0.12</v>
      </c>
      <c r="Q160">
        <v>0.38</v>
      </c>
      <c r="R160">
        <v>0.2</v>
      </c>
      <c r="S160">
        <v>0</v>
      </c>
      <c r="T160">
        <v>86</v>
      </c>
      <c r="U160">
        <v>0.16</v>
      </c>
      <c r="V160">
        <v>3</v>
      </c>
      <c r="W160">
        <v>258</v>
      </c>
      <c r="X160">
        <v>118.5</v>
      </c>
      <c r="Y160">
        <v>142</v>
      </c>
      <c r="Z160">
        <v>1</v>
      </c>
      <c r="AA160">
        <v>89</v>
      </c>
      <c r="AB160" t="s">
        <v>1248</v>
      </c>
    </row>
    <row r="161" spans="1:28" x14ac:dyDescent="0.2">
      <c r="A161">
        <v>173</v>
      </c>
      <c r="B161" t="s">
        <v>363</v>
      </c>
      <c r="C161" t="s">
        <v>1127</v>
      </c>
      <c r="D161" t="s">
        <v>450</v>
      </c>
      <c r="E161" t="s">
        <v>31</v>
      </c>
      <c r="F161" t="s">
        <v>1357</v>
      </c>
      <c r="G161">
        <v>1</v>
      </c>
      <c r="H161">
        <v>112</v>
      </c>
      <c r="I161">
        <v>4.5</v>
      </c>
      <c r="J161">
        <v>0.2</v>
      </c>
      <c r="K161">
        <v>23.1</v>
      </c>
      <c r="L161">
        <v>0.6</v>
      </c>
      <c r="M161">
        <v>1.8</v>
      </c>
      <c r="O161">
        <v>0</v>
      </c>
      <c r="P161">
        <v>0.22</v>
      </c>
      <c r="Q161">
        <v>7.0000000000000007E-2</v>
      </c>
      <c r="R161">
        <v>0.3</v>
      </c>
      <c r="S161">
        <v>15</v>
      </c>
      <c r="T161">
        <v>42</v>
      </c>
      <c r="U161">
        <v>0.09</v>
      </c>
      <c r="V161">
        <v>1</v>
      </c>
      <c r="W161">
        <v>134</v>
      </c>
      <c r="X161">
        <v>665.7</v>
      </c>
      <c r="Y161">
        <v>46</v>
      </c>
      <c r="Z161">
        <v>0.4</v>
      </c>
      <c r="AA161">
        <v>88</v>
      </c>
      <c r="AB161" t="s">
        <v>1199</v>
      </c>
    </row>
    <row r="162" spans="1:28" x14ac:dyDescent="0.2">
      <c r="A162">
        <v>173</v>
      </c>
      <c r="B162" t="s">
        <v>363</v>
      </c>
      <c r="C162" t="s">
        <v>1127</v>
      </c>
      <c r="D162" t="s">
        <v>1227</v>
      </c>
      <c r="E162" t="s">
        <v>285</v>
      </c>
      <c r="F162" t="s">
        <v>1228</v>
      </c>
      <c r="G162">
        <v>9</v>
      </c>
      <c r="H162">
        <v>0</v>
      </c>
      <c r="I162">
        <v>0</v>
      </c>
      <c r="J162">
        <v>0</v>
      </c>
      <c r="K162">
        <v>0</v>
      </c>
      <c r="L162">
        <v>0</v>
      </c>
      <c r="M162">
        <v>7.0000000000000007E-2</v>
      </c>
      <c r="N162">
        <v>0</v>
      </c>
      <c r="O162">
        <v>0</v>
      </c>
      <c r="P162">
        <v>0</v>
      </c>
      <c r="Q162">
        <v>0</v>
      </c>
      <c r="R162">
        <v>0</v>
      </c>
      <c r="S162">
        <v>0</v>
      </c>
      <c r="T162">
        <v>10</v>
      </c>
      <c r="U162">
        <v>7.0000000000000001E-3</v>
      </c>
      <c r="V162">
        <v>0</v>
      </c>
      <c r="W162">
        <v>0</v>
      </c>
      <c r="X162">
        <v>0</v>
      </c>
      <c r="Y162">
        <v>2</v>
      </c>
      <c r="Z162">
        <v>0</v>
      </c>
      <c r="AA162">
        <v>100</v>
      </c>
      <c r="AB162" t="s">
        <v>1229</v>
      </c>
    </row>
    <row r="163" spans="1:28" x14ac:dyDescent="0.2">
      <c r="A163">
        <v>173</v>
      </c>
      <c r="B163" t="s">
        <v>363</v>
      </c>
      <c r="C163" t="s">
        <v>1127</v>
      </c>
      <c r="D163" t="s">
        <v>1347</v>
      </c>
      <c r="E163" t="s">
        <v>59</v>
      </c>
      <c r="F163" t="s">
        <v>1358</v>
      </c>
      <c r="G163">
        <v>10</v>
      </c>
      <c r="H163">
        <v>120</v>
      </c>
      <c r="I163">
        <v>19.600000000000001</v>
      </c>
      <c r="J163">
        <v>4.5999999999999996</v>
      </c>
      <c r="K163">
        <v>0</v>
      </c>
      <c r="L163">
        <v>0</v>
      </c>
      <c r="M163">
        <v>1.5</v>
      </c>
      <c r="N163">
        <v>12</v>
      </c>
      <c r="O163">
        <v>0</v>
      </c>
      <c r="P163">
        <v>0.08</v>
      </c>
      <c r="Q163">
        <v>90</v>
      </c>
      <c r="R163">
        <v>12</v>
      </c>
      <c r="S163">
        <v>0</v>
      </c>
      <c r="T163">
        <v>18.350000000000001</v>
      </c>
      <c r="U163">
        <v>3.1300000000000001E-2</v>
      </c>
      <c r="V163">
        <v>0.65</v>
      </c>
      <c r="W163">
        <v>231.6</v>
      </c>
      <c r="X163">
        <v>373.5</v>
      </c>
      <c r="Y163">
        <v>51.6</v>
      </c>
      <c r="Z163">
        <v>0.78</v>
      </c>
      <c r="AA163">
        <v>51.7067264573991</v>
      </c>
      <c r="AB163" t="s">
        <v>1349</v>
      </c>
    </row>
    <row r="164" spans="1:28" x14ac:dyDescent="0.2">
      <c r="A164">
        <v>173</v>
      </c>
      <c r="B164" t="s">
        <v>363</v>
      </c>
      <c r="C164" t="s">
        <v>1127</v>
      </c>
      <c r="D164" t="s">
        <v>1311</v>
      </c>
      <c r="E164" t="s">
        <v>31</v>
      </c>
      <c r="F164" t="s">
        <v>1359</v>
      </c>
      <c r="G164">
        <v>9</v>
      </c>
      <c r="H164">
        <v>363</v>
      </c>
      <c r="I164">
        <v>1.1000000000000001</v>
      </c>
      <c r="J164">
        <v>0.5</v>
      </c>
      <c r="K164">
        <v>88.2</v>
      </c>
      <c r="L164">
        <v>0.9</v>
      </c>
      <c r="M164">
        <v>1.1000000000000001</v>
      </c>
      <c r="O164">
        <v>0</v>
      </c>
      <c r="P164">
        <v>0.04</v>
      </c>
      <c r="Q164">
        <v>0</v>
      </c>
      <c r="R164">
        <v>0.4</v>
      </c>
      <c r="S164">
        <v>0</v>
      </c>
      <c r="T164">
        <v>84</v>
      </c>
      <c r="U164">
        <v>0</v>
      </c>
      <c r="V164">
        <v>1</v>
      </c>
      <c r="W164">
        <v>125</v>
      </c>
      <c r="X164">
        <v>7.1</v>
      </c>
      <c r="Y164">
        <v>1</v>
      </c>
      <c r="Z164">
        <v>0.1</v>
      </c>
      <c r="AA164">
        <v>100</v>
      </c>
      <c r="AB164" t="s">
        <v>1351</v>
      </c>
    </row>
    <row r="165" spans="1:28" x14ac:dyDescent="0.2">
      <c r="A165">
        <v>173</v>
      </c>
      <c r="B165" t="s">
        <v>363</v>
      </c>
      <c r="C165" t="s">
        <v>1127</v>
      </c>
      <c r="D165" t="s">
        <v>1232</v>
      </c>
      <c r="E165" t="s">
        <v>31</v>
      </c>
      <c r="F165" t="s">
        <v>1360</v>
      </c>
      <c r="G165">
        <v>7</v>
      </c>
      <c r="H165">
        <v>80</v>
      </c>
      <c r="I165">
        <v>10.9</v>
      </c>
      <c r="J165">
        <v>4.7</v>
      </c>
      <c r="K165">
        <v>0.8</v>
      </c>
      <c r="L165">
        <v>0.1</v>
      </c>
      <c r="M165">
        <v>1.4</v>
      </c>
      <c r="O165">
        <v>118</v>
      </c>
      <c r="P165">
        <v>0.01</v>
      </c>
      <c r="Q165">
        <v>0.08</v>
      </c>
      <c r="R165">
        <v>0.1</v>
      </c>
      <c r="T165">
        <v>223</v>
      </c>
      <c r="U165">
        <v>0.19</v>
      </c>
      <c r="V165">
        <v>3.4</v>
      </c>
      <c r="W165">
        <v>183</v>
      </c>
      <c r="X165">
        <v>50.6</v>
      </c>
      <c r="Y165">
        <v>2</v>
      </c>
      <c r="Z165">
        <v>0.8</v>
      </c>
      <c r="AA165">
        <v>100</v>
      </c>
      <c r="AB165" t="s">
        <v>1234</v>
      </c>
    </row>
    <row r="166" spans="1:28" x14ac:dyDescent="0.2">
      <c r="A166">
        <v>173</v>
      </c>
      <c r="B166" t="s">
        <v>363</v>
      </c>
      <c r="C166" t="s">
        <v>1127</v>
      </c>
      <c r="D166" t="s">
        <v>476</v>
      </c>
      <c r="E166" t="s">
        <v>31</v>
      </c>
      <c r="F166" t="s">
        <v>1361</v>
      </c>
      <c r="G166">
        <v>5</v>
      </c>
      <c r="H166">
        <v>884</v>
      </c>
      <c r="I166">
        <v>0</v>
      </c>
      <c r="J166">
        <v>100</v>
      </c>
      <c r="K166">
        <v>0</v>
      </c>
      <c r="L166">
        <v>0</v>
      </c>
      <c r="M166">
        <v>0</v>
      </c>
      <c r="O166">
        <v>18181</v>
      </c>
      <c r="P166">
        <v>0</v>
      </c>
      <c r="Q166">
        <v>0</v>
      </c>
      <c r="R166">
        <v>0</v>
      </c>
      <c r="S166">
        <v>0</v>
      </c>
      <c r="T166">
        <v>0</v>
      </c>
      <c r="U166">
        <v>0</v>
      </c>
      <c r="V166">
        <v>0</v>
      </c>
      <c r="W166">
        <v>0</v>
      </c>
      <c r="X166">
        <v>0</v>
      </c>
      <c r="Y166">
        <v>0</v>
      </c>
      <c r="Z166">
        <v>0</v>
      </c>
      <c r="AA166">
        <v>100</v>
      </c>
      <c r="AB166" t="s">
        <v>1362</v>
      </c>
    </row>
    <row r="167" spans="1:28" x14ac:dyDescent="0.2">
      <c r="A167">
        <v>173</v>
      </c>
      <c r="B167" t="s">
        <v>363</v>
      </c>
      <c r="C167" t="s">
        <v>1127</v>
      </c>
      <c r="D167" t="s">
        <v>1249</v>
      </c>
      <c r="E167" t="s">
        <v>31</v>
      </c>
      <c r="F167" t="s">
        <v>1363</v>
      </c>
      <c r="G167">
        <v>5</v>
      </c>
      <c r="H167">
        <v>560</v>
      </c>
      <c r="I167">
        <v>29.5</v>
      </c>
      <c r="J167">
        <v>43</v>
      </c>
      <c r="K167">
        <v>24.1</v>
      </c>
      <c r="L167">
        <v>2.9</v>
      </c>
      <c r="M167">
        <v>2.2000000000000002</v>
      </c>
      <c r="O167">
        <v>0</v>
      </c>
      <c r="P167">
        <v>0.31</v>
      </c>
      <c r="Q167">
        <v>0.3</v>
      </c>
      <c r="R167">
        <v>15.5</v>
      </c>
      <c r="T167">
        <v>107</v>
      </c>
      <c r="U167">
        <v>1.69</v>
      </c>
      <c r="V167">
        <v>4.0999999999999996</v>
      </c>
      <c r="W167">
        <v>366</v>
      </c>
      <c r="X167">
        <v>509.8</v>
      </c>
      <c r="Y167">
        <v>34</v>
      </c>
      <c r="Z167">
        <v>2.1</v>
      </c>
      <c r="AA167">
        <v>100</v>
      </c>
      <c r="AB167" t="s">
        <v>1364</v>
      </c>
    </row>
    <row r="168" spans="1:28" x14ac:dyDescent="0.2">
      <c r="A168">
        <v>173</v>
      </c>
      <c r="B168" t="s">
        <v>363</v>
      </c>
      <c r="C168" t="s">
        <v>1127</v>
      </c>
      <c r="D168" t="s">
        <v>1217</v>
      </c>
      <c r="E168" t="s">
        <v>31</v>
      </c>
      <c r="F168" t="s">
        <v>1365</v>
      </c>
      <c r="G168">
        <v>2</v>
      </c>
      <c r="H168">
        <v>386</v>
      </c>
      <c r="I168">
        <v>3</v>
      </c>
      <c r="J168">
        <v>10</v>
      </c>
      <c r="K168">
        <v>76</v>
      </c>
      <c r="L168">
        <v>0</v>
      </c>
      <c r="M168">
        <v>1</v>
      </c>
      <c r="N168">
        <v>0</v>
      </c>
      <c r="O168">
        <v>0</v>
      </c>
      <c r="P168">
        <v>0</v>
      </c>
      <c r="Q168">
        <v>0.34</v>
      </c>
      <c r="R168">
        <v>0.5</v>
      </c>
      <c r="S168">
        <v>0</v>
      </c>
      <c r="T168">
        <v>76</v>
      </c>
      <c r="U168">
        <v>0</v>
      </c>
      <c r="V168">
        <v>2.6</v>
      </c>
      <c r="W168">
        <v>37</v>
      </c>
      <c r="X168">
        <v>0</v>
      </c>
      <c r="Y168">
        <v>2</v>
      </c>
      <c r="Z168">
        <v>0</v>
      </c>
      <c r="AA168">
        <v>100</v>
      </c>
      <c r="AB168" t="s">
        <v>1225</v>
      </c>
    </row>
    <row r="169" spans="1:28" x14ac:dyDescent="0.2">
      <c r="A169">
        <v>173</v>
      </c>
      <c r="B169" t="s">
        <v>363</v>
      </c>
      <c r="C169" t="s">
        <v>1127</v>
      </c>
      <c r="D169" t="s">
        <v>451</v>
      </c>
      <c r="E169" t="s">
        <v>31</v>
      </c>
      <c r="F169" t="s">
        <v>1366</v>
      </c>
      <c r="G169">
        <v>1</v>
      </c>
      <c r="H169">
        <v>36</v>
      </c>
      <c r="I169">
        <v>1</v>
      </c>
      <c r="J169">
        <v>0.3</v>
      </c>
      <c r="K169">
        <v>7.3</v>
      </c>
      <c r="L169">
        <v>1.4</v>
      </c>
      <c r="M169">
        <v>0.5</v>
      </c>
      <c r="O169">
        <v>5833</v>
      </c>
      <c r="P169">
        <v>0.05</v>
      </c>
      <c r="Q169">
        <v>0.09</v>
      </c>
      <c r="R169">
        <v>3</v>
      </c>
      <c r="S169">
        <v>18</v>
      </c>
      <c r="T169">
        <v>29</v>
      </c>
      <c r="U169">
        <v>0.12</v>
      </c>
      <c r="V169">
        <v>0.5</v>
      </c>
      <c r="W169">
        <v>24</v>
      </c>
      <c r="X169">
        <v>272.39999999999998</v>
      </c>
      <c r="Y169">
        <v>23</v>
      </c>
      <c r="Z169">
        <v>0.2</v>
      </c>
      <c r="AA169">
        <v>85</v>
      </c>
      <c r="AB169" t="s">
        <v>1191</v>
      </c>
    </row>
    <row r="170" spans="1:28" x14ac:dyDescent="0.2">
      <c r="A170">
        <v>173</v>
      </c>
      <c r="B170" t="s">
        <v>363</v>
      </c>
      <c r="C170" t="s">
        <v>1127</v>
      </c>
      <c r="D170" t="s">
        <v>450</v>
      </c>
      <c r="E170" t="s">
        <v>31</v>
      </c>
      <c r="F170" t="s">
        <v>1367</v>
      </c>
      <c r="G170">
        <v>1</v>
      </c>
      <c r="H170">
        <v>112</v>
      </c>
      <c r="I170">
        <v>4.5</v>
      </c>
      <c r="J170">
        <v>0.2</v>
      </c>
      <c r="K170">
        <v>23.1</v>
      </c>
      <c r="L170">
        <v>0.6</v>
      </c>
      <c r="M170">
        <v>1.8</v>
      </c>
      <c r="O170">
        <v>0</v>
      </c>
      <c r="P170">
        <v>0.22</v>
      </c>
      <c r="Q170">
        <v>7.0000000000000007E-2</v>
      </c>
      <c r="R170">
        <v>0.3</v>
      </c>
      <c r="S170">
        <v>15</v>
      </c>
      <c r="T170">
        <v>42</v>
      </c>
      <c r="U170">
        <v>0.09</v>
      </c>
      <c r="V170">
        <v>1</v>
      </c>
      <c r="W170">
        <v>134</v>
      </c>
      <c r="X170">
        <v>665.7</v>
      </c>
      <c r="Y170">
        <v>46</v>
      </c>
      <c r="Z170">
        <v>0.4</v>
      </c>
      <c r="AA170">
        <v>88</v>
      </c>
      <c r="AB170" t="s">
        <v>1199</v>
      </c>
    </row>
    <row r="171" spans="1:28" x14ac:dyDescent="0.2">
      <c r="A171">
        <v>173</v>
      </c>
      <c r="B171" t="s">
        <v>363</v>
      </c>
      <c r="C171" t="s">
        <v>1127</v>
      </c>
      <c r="D171" t="s">
        <v>1201</v>
      </c>
      <c r="E171" t="s">
        <v>285</v>
      </c>
      <c r="F171" t="s">
        <v>1202</v>
      </c>
      <c r="G171">
        <v>1</v>
      </c>
      <c r="H171">
        <v>0</v>
      </c>
      <c r="I171">
        <v>0</v>
      </c>
      <c r="J171">
        <v>0</v>
      </c>
      <c r="K171">
        <v>0</v>
      </c>
      <c r="L171">
        <v>0</v>
      </c>
      <c r="M171">
        <v>99</v>
      </c>
      <c r="N171">
        <v>0</v>
      </c>
      <c r="O171">
        <v>0</v>
      </c>
      <c r="P171">
        <v>0</v>
      </c>
      <c r="Q171">
        <v>0</v>
      </c>
      <c r="R171">
        <v>0</v>
      </c>
      <c r="S171">
        <v>0</v>
      </c>
      <c r="T171">
        <v>50</v>
      </c>
      <c r="U171">
        <v>0</v>
      </c>
      <c r="V171">
        <v>0</v>
      </c>
      <c r="W171">
        <v>0</v>
      </c>
      <c r="X171">
        <v>2</v>
      </c>
      <c r="Y171">
        <v>38700</v>
      </c>
      <c r="Z171">
        <v>0</v>
      </c>
      <c r="AA171">
        <v>100</v>
      </c>
      <c r="AB171" t="s">
        <v>1203</v>
      </c>
    </row>
    <row r="172" spans="1:28" x14ac:dyDescent="0.2">
      <c r="A172" s="5">
        <v>173</v>
      </c>
      <c r="B172" s="5" t="s">
        <v>363</v>
      </c>
      <c r="C172" s="5" t="s">
        <v>1127</v>
      </c>
      <c r="D172" s="5"/>
      <c r="E172" s="5" t="s">
        <v>1151</v>
      </c>
      <c r="F172" s="5" t="s">
        <v>1152</v>
      </c>
      <c r="G172" s="5">
        <f>SUM(G155:G171)</f>
        <v>100</v>
      </c>
      <c r="H172" s="5">
        <f t="shared" ref="H172:AA172" si="13">SUMPRODUCT($G$155:$G$171/100,H155:H171)</f>
        <v>201.68000000000004</v>
      </c>
      <c r="I172" s="5">
        <f t="shared" si="13"/>
        <v>8.636000000000001</v>
      </c>
      <c r="J172" s="5">
        <f t="shared" si="13"/>
        <v>9.6820000000000004</v>
      </c>
      <c r="K172" s="5">
        <f t="shared" si="13"/>
        <v>21.114000000000001</v>
      </c>
      <c r="L172" s="5">
        <f t="shared" si="13"/>
        <v>0.60199999999999998</v>
      </c>
      <c r="M172" s="5">
        <f t="shared" si="13"/>
        <v>2.1493000000000002</v>
      </c>
      <c r="N172" s="5">
        <f t="shared" si="13"/>
        <v>5.08</v>
      </c>
      <c r="O172" s="5">
        <f t="shared" si="13"/>
        <v>1585.9</v>
      </c>
      <c r="P172" s="5">
        <f t="shared" si="13"/>
        <v>8.4500000000000006E-2</v>
      </c>
      <c r="Q172" s="5">
        <f t="shared" si="13"/>
        <v>19.867299999999997</v>
      </c>
      <c r="R172" s="5">
        <f t="shared" si="13"/>
        <v>3.6680000000000001</v>
      </c>
      <c r="S172" s="5">
        <f t="shared" si="13"/>
        <v>3.54</v>
      </c>
      <c r="T172" s="5">
        <f t="shared" si="13"/>
        <v>77.747</v>
      </c>
      <c r="U172" s="5">
        <f t="shared" si="13"/>
        <v>0.22391600000000003</v>
      </c>
      <c r="V172" s="5">
        <f t="shared" si="13"/>
        <v>1.5090000000000001</v>
      </c>
      <c r="W172" s="5">
        <f t="shared" si="13"/>
        <v>141.98200000000003</v>
      </c>
      <c r="X172" s="5">
        <f t="shared" si="13"/>
        <v>182.92600000000002</v>
      </c>
      <c r="Y172" s="5">
        <f t="shared" si="13"/>
        <v>411.28199999999998</v>
      </c>
      <c r="Z172" s="5">
        <f t="shared" si="13"/>
        <v>0.53060000000000007</v>
      </c>
      <c r="AA172" s="5">
        <f t="shared" si="13"/>
        <v>85.545479820627804</v>
      </c>
      <c r="AB172" s="6" t="s">
        <v>1368</v>
      </c>
    </row>
    <row r="173" spans="1:28" x14ac:dyDescent="0.2">
      <c r="A173">
        <v>181</v>
      </c>
      <c r="B173" t="s">
        <v>380</v>
      </c>
      <c r="C173" t="s">
        <v>1127</v>
      </c>
      <c r="D173" t="s">
        <v>1227</v>
      </c>
      <c r="E173" t="s">
        <v>285</v>
      </c>
      <c r="F173" t="s">
        <v>1228</v>
      </c>
      <c r="G173">
        <v>30</v>
      </c>
      <c r="H173">
        <v>0</v>
      </c>
      <c r="I173">
        <v>0</v>
      </c>
      <c r="J173">
        <v>0</v>
      </c>
      <c r="K173">
        <v>0</v>
      </c>
      <c r="L173">
        <v>0</v>
      </c>
      <c r="M173">
        <v>7.0000000000000007E-2</v>
      </c>
      <c r="N173">
        <v>0</v>
      </c>
      <c r="O173">
        <v>0</v>
      </c>
      <c r="P173">
        <v>0</v>
      </c>
      <c r="Q173">
        <v>0</v>
      </c>
      <c r="R173">
        <v>0</v>
      </c>
      <c r="S173">
        <v>0</v>
      </c>
      <c r="T173">
        <v>10</v>
      </c>
      <c r="U173">
        <v>7.0000000000000001E-3</v>
      </c>
      <c r="V173">
        <v>0</v>
      </c>
      <c r="W173">
        <v>0</v>
      </c>
      <c r="X173">
        <v>0</v>
      </c>
      <c r="Y173">
        <v>2</v>
      </c>
      <c r="Z173">
        <v>0</v>
      </c>
      <c r="AA173">
        <v>100</v>
      </c>
      <c r="AB173" t="s">
        <v>1229</v>
      </c>
    </row>
    <row r="174" spans="1:28" x14ac:dyDescent="0.2">
      <c r="A174">
        <v>181</v>
      </c>
      <c r="B174" t="s">
        <v>380</v>
      </c>
      <c r="C174" t="s">
        <v>1127</v>
      </c>
      <c r="D174" t="s">
        <v>1369</v>
      </c>
      <c r="E174" t="s">
        <v>31</v>
      </c>
      <c r="F174" t="s">
        <v>1370</v>
      </c>
      <c r="G174">
        <v>8</v>
      </c>
      <c r="H174">
        <v>16</v>
      </c>
      <c r="I174">
        <v>0.1</v>
      </c>
      <c r="J174">
        <v>0.4</v>
      </c>
      <c r="K174">
        <v>3</v>
      </c>
      <c r="L174">
        <v>0</v>
      </c>
      <c r="M174">
        <v>0.4</v>
      </c>
      <c r="N174">
        <v>0</v>
      </c>
      <c r="O174">
        <v>0</v>
      </c>
      <c r="P174">
        <v>0</v>
      </c>
      <c r="Q174">
        <v>0</v>
      </c>
      <c r="R174">
        <v>0</v>
      </c>
      <c r="S174">
        <v>1</v>
      </c>
      <c r="T174">
        <v>15</v>
      </c>
      <c r="U174">
        <v>0.04</v>
      </c>
      <c r="V174">
        <v>0.2</v>
      </c>
      <c r="W174">
        <v>8</v>
      </c>
      <c r="X174">
        <v>149</v>
      </c>
      <c r="Y174">
        <v>1</v>
      </c>
      <c r="Z174">
        <v>0.1</v>
      </c>
      <c r="AA174">
        <v>100</v>
      </c>
    </row>
    <row r="175" spans="1:28" x14ac:dyDescent="0.2">
      <c r="A175">
        <v>181</v>
      </c>
      <c r="B175" t="s">
        <v>380</v>
      </c>
      <c r="C175" t="s">
        <v>1127</v>
      </c>
      <c r="D175" t="s">
        <v>1371</v>
      </c>
      <c r="E175" t="s">
        <v>31</v>
      </c>
      <c r="F175" t="s">
        <v>1372</v>
      </c>
      <c r="G175">
        <v>6</v>
      </c>
      <c r="H175">
        <v>68</v>
      </c>
      <c r="I175">
        <v>1</v>
      </c>
      <c r="J175">
        <v>0.9</v>
      </c>
      <c r="K175">
        <v>14</v>
      </c>
      <c r="L175">
        <v>0</v>
      </c>
      <c r="M175">
        <v>0.8</v>
      </c>
      <c r="N175">
        <v>0</v>
      </c>
      <c r="O175">
        <v>0</v>
      </c>
      <c r="P175">
        <v>0.06</v>
      </c>
      <c r="Q175">
        <v>0.02</v>
      </c>
      <c r="R175">
        <v>0.6</v>
      </c>
      <c r="S175">
        <v>4</v>
      </c>
      <c r="T175">
        <v>7</v>
      </c>
      <c r="U175">
        <v>0.14000000000000001</v>
      </c>
      <c r="V175">
        <v>1</v>
      </c>
      <c r="W175">
        <v>30</v>
      </c>
      <c r="X175">
        <v>564.6</v>
      </c>
      <c r="Y175">
        <v>18</v>
      </c>
      <c r="Z175">
        <v>0.3</v>
      </c>
      <c r="AA175">
        <v>53</v>
      </c>
    </row>
    <row r="176" spans="1:28" x14ac:dyDescent="0.2">
      <c r="A176">
        <v>181</v>
      </c>
      <c r="B176" t="s">
        <v>380</v>
      </c>
      <c r="C176" t="s">
        <v>1127</v>
      </c>
      <c r="D176" t="s">
        <v>1069</v>
      </c>
      <c r="E176" t="s">
        <v>31</v>
      </c>
      <c r="F176" t="s">
        <v>1373</v>
      </c>
      <c r="G176">
        <v>4</v>
      </c>
      <c r="H176">
        <v>343</v>
      </c>
      <c r="I176">
        <v>8.1999999999999993</v>
      </c>
      <c r="J176">
        <v>10</v>
      </c>
      <c r="K176">
        <v>55</v>
      </c>
      <c r="L176">
        <v>0</v>
      </c>
      <c r="M176">
        <v>1.8</v>
      </c>
      <c r="N176">
        <v>155</v>
      </c>
      <c r="O176">
        <v>46</v>
      </c>
      <c r="P176">
        <v>0.05</v>
      </c>
      <c r="Q176">
        <v>0.43</v>
      </c>
      <c r="R176">
        <v>0.4</v>
      </c>
      <c r="S176">
        <v>1</v>
      </c>
      <c r="T176">
        <v>275</v>
      </c>
      <c r="U176">
        <v>0.02</v>
      </c>
      <c r="V176">
        <v>0.2</v>
      </c>
      <c r="W176">
        <v>209</v>
      </c>
      <c r="X176">
        <v>320</v>
      </c>
      <c r="Y176">
        <v>150</v>
      </c>
      <c r="Z176">
        <v>1</v>
      </c>
      <c r="AA176">
        <v>100</v>
      </c>
    </row>
    <row r="177" spans="1:28" x14ac:dyDescent="0.2">
      <c r="A177">
        <v>181</v>
      </c>
      <c r="B177" t="s">
        <v>380</v>
      </c>
      <c r="C177" t="s">
        <v>1127</v>
      </c>
      <c r="D177" t="s">
        <v>1374</v>
      </c>
      <c r="E177" t="s">
        <v>31</v>
      </c>
      <c r="F177" t="s">
        <v>1375</v>
      </c>
      <c r="G177">
        <v>3</v>
      </c>
      <c r="H177">
        <v>213</v>
      </c>
      <c r="I177">
        <v>0</v>
      </c>
      <c r="J177">
        <v>0</v>
      </c>
      <c r="K177">
        <v>55</v>
      </c>
      <c r="L177">
        <v>0</v>
      </c>
      <c r="M177">
        <v>1</v>
      </c>
      <c r="O177">
        <v>0</v>
      </c>
      <c r="P177">
        <v>0</v>
      </c>
      <c r="Q177">
        <v>0</v>
      </c>
      <c r="R177">
        <v>0</v>
      </c>
      <c r="T177">
        <v>0</v>
      </c>
      <c r="V177">
        <v>0</v>
      </c>
      <c r="W177">
        <v>0</v>
      </c>
      <c r="X177">
        <v>4.2</v>
      </c>
      <c r="Y177">
        <v>3</v>
      </c>
      <c r="AA177">
        <v>100</v>
      </c>
    </row>
    <row r="178" spans="1:28" x14ac:dyDescent="0.2">
      <c r="A178">
        <v>181</v>
      </c>
      <c r="B178" t="s">
        <v>380</v>
      </c>
      <c r="C178" t="s">
        <v>1127</v>
      </c>
      <c r="D178" t="s">
        <v>1376</v>
      </c>
      <c r="E178" t="s">
        <v>31</v>
      </c>
      <c r="F178" t="s">
        <v>1377</v>
      </c>
      <c r="G178">
        <v>5</v>
      </c>
      <c r="H178">
        <v>52</v>
      </c>
      <c r="I178">
        <v>0.7</v>
      </c>
      <c r="J178">
        <v>0</v>
      </c>
      <c r="K178">
        <v>12.3</v>
      </c>
      <c r="L178">
        <v>1.6</v>
      </c>
      <c r="M178">
        <v>0.2</v>
      </c>
      <c r="O178">
        <v>316</v>
      </c>
      <c r="P178">
        <v>0.03</v>
      </c>
      <c r="Q178">
        <v>0.01</v>
      </c>
      <c r="R178">
        <v>0.3</v>
      </c>
      <c r="S178">
        <v>12</v>
      </c>
      <c r="T178">
        <v>20</v>
      </c>
      <c r="U178">
        <v>0.33</v>
      </c>
      <c r="V178">
        <v>1</v>
      </c>
      <c r="W178">
        <v>16</v>
      </c>
      <c r="X178">
        <v>140</v>
      </c>
      <c r="Y178">
        <v>3</v>
      </c>
      <c r="Z178">
        <v>0</v>
      </c>
      <c r="AA178">
        <v>65</v>
      </c>
    </row>
    <row r="179" spans="1:28" x14ac:dyDescent="0.2">
      <c r="A179">
        <v>181</v>
      </c>
      <c r="B179" t="s">
        <v>380</v>
      </c>
      <c r="C179" t="s">
        <v>1127</v>
      </c>
      <c r="D179" t="s">
        <v>1378</v>
      </c>
      <c r="E179" t="s">
        <v>31</v>
      </c>
      <c r="F179" t="s">
        <v>1379</v>
      </c>
      <c r="G179">
        <v>5</v>
      </c>
      <c r="H179">
        <v>40</v>
      </c>
      <c r="I179">
        <v>0.6</v>
      </c>
      <c r="J179">
        <v>0.3</v>
      </c>
      <c r="K179">
        <v>9.9</v>
      </c>
      <c r="L179">
        <v>0.6</v>
      </c>
      <c r="M179">
        <v>0.3</v>
      </c>
      <c r="N179">
        <v>0</v>
      </c>
      <c r="O179">
        <v>17</v>
      </c>
      <c r="P179">
        <v>0.02</v>
      </c>
      <c r="Q179">
        <v>0.04</v>
      </c>
      <c r="R179">
        <v>0.2</v>
      </c>
      <c r="S179">
        <v>22</v>
      </c>
      <c r="T179">
        <v>22</v>
      </c>
      <c r="U179">
        <v>0.03</v>
      </c>
      <c r="V179">
        <v>0.9</v>
      </c>
      <c r="W179">
        <v>14</v>
      </c>
      <c r="X179">
        <v>111</v>
      </c>
      <c r="Y179">
        <v>18</v>
      </c>
      <c r="Z179">
        <v>0.1</v>
      </c>
      <c r="AA179">
        <v>53</v>
      </c>
    </row>
    <row r="180" spans="1:28" x14ac:dyDescent="0.2">
      <c r="A180">
        <v>181</v>
      </c>
      <c r="B180" t="s">
        <v>380</v>
      </c>
      <c r="C180" t="s">
        <v>1127</v>
      </c>
      <c r="D180" t="s">
        <v>1380</v>
      </c>
      <c r="E180" t="s">
        <v>31</v>
      </c>
      <c r="F180" t="s">
        <v>1381</v>
      </c>
      <c r="G180">
        <v>3</v>
      </c>
      <c r="H180">
        <v>106</v>
      </c>
      <c r="I180">
        <v>1.2</v>
      </c>
      <c r="J180">
        <v>0.3</v>
      </c>
      <c r="K180">
        <v>27.6</v>
      </c>
      <c r="L180">
        <v>3.7</v>
      </c>
      <c r="M180">
        <v>2.7</v>
      </c>
      <c r="O180">
        <v>149</v>
      </c>
      <c r="P180">
        <v>7.0000000000000007E-2</v>
      </c>
      <c r="Q180">
        <v>0.1</v>
      </c>
      <c r="R180">
        <v>1</v>
      </c>
      <c r="S180">
        <v>7</v>
      </c>
      <c r="T180">
        <v>20</v>
      </c>
      <c r="U180">
        <v>246.58</v>
      </c>
      <c r="V180">
        <v>0.9</v>
      </c>
      <c r="W180">
        <v>19</v>
      </c>
      <c r="X180">
        <v>407</v>
      </c>
      <c r="Y180">
        <v>2</v>
      </c>
      <c r="Z180">
        <v>1.4</v>
      </c>
      <c r="AA180">
        <v>28</v>
      </c>
    </row>
    <row r="181" spans="1:28" x14ac:dyDescent="0.2">
      <c r="A181">
        <v>181</v>
      </c>
      <c r="B181" t="s">
        <v>380</v>
      </c>
      <c r="C181" t="s">
        <v>1127</v>
      </c>
      <c r="D181" t="s">
        <v>1382</v>
      </c>
      <c r="E181" t="s">
        <v>31</v>
      </c>
      <c r="F181" t="s">
        <v>1383</v>
      </c>
      <c r="G181">
        <v>6</v>
      </c>
      <c r="H181">
        <v>85</v>
      </c>
      <c r="I181">
        <v>0.9</v>
      </c>
      <c r="J181">
        <v>6.5</v>
      </c>
      <c r="K181">
        <v>7.7</v>
      </c>
      <c r="M181">
        <v>0.6</v>
      </c>
      <c r="O181">
        <v>189</v>
      </c>
      <c r="P181">
        <v>0.05</v>
      </c>
      <c r="Q181">
        <v>0.08</v>
      </c>
      <c r="R181">
        <v>1</v>
      </c>
      <c r="S181">
        <v>13</v>
      </c>
      <c r="T181">
        <v>10</v>
      </c>
      <c r="U181">
        <v>0.2</v>
      </c>
      <c r="V181">
        <v>0.9</v>
      </c>
      <c r="W181">
        <v>20</v>
      </c>
      <c r="X181">
        <v>278</v>
      </c>
      <c r="Y181">
        <v>2</v>
      </c>
      <c r="Z181">
        <v>0.4</v>
      </c>
      <c r="AA181">
        <v>61</v>
      </c>
    </row>
    <row r="182" spans="1:28" x14ac:dyDescent="0.2">
      <c r="A182">
        <v>181</v>
      </c>
      <c r="B182" t="s">
        <v>380</v>
      </c>
      <c r="C182" t="s">
        <v>1127</v>
      </c>
      <c r="D182" t="s">
        <v>1384</v>
      </c>
      <c r="E182" t="s">
        <v>31</v>
      </c>
      <c r="F182" t="s">
        <v>1385</v>
      </c>
      <c r="G182">
        <v>10</v>
      </c>
      <c r="H182">
        <v>144</v>
      </c>
      <c r="I182">
        <v>10</v>
      </c>
      <c r="J182">
        <v>1</v>
      </c>
      <c r="K182">
        <v>24.7</v>
      </c>
      <c r="L182">
        <v>3.5</v>
      </c>
      <c r="M182">
        <v>1.2</v>
      </c>
      <c r="O182">
        <v>0</v>
      </c>
      <c r="P182">
        <v>0.1</v>
      </c>
      <c r="Q182">
        <v>0.08</v>
      </c>
      <c r="R182">
        <v>0.7</v>
      </c>
      <c r="T182">
        <v>144</v>
      </c>
      <c r="U182">
        <v>0.27</v>
      </c>
      <c r="V182">
        <v>2.8</v>
      </c>
      <c r="W182">
        <v>150</v>
      </c>
      <c r="X182">
        <v>311</v>
      </c>
      <c r="Y182">
        <v>6</v>
      </c>
      <c r="Z182">
        <v>1.5</v>
      </c>
      <c r="AA182">
        <v>100</v>
      </c>
      <c r="AB182" t="s">
        <v>1386</v>
      </c>
    </row>
    <row r="183" spans="1:28" x14ac:dyDescent="0.2">
      <c r="A183">
        <v>181</v>
      </c>
      <c r="B183" t="s">
        <v>380</v>
      </c>
      <c r="C183" t="s">
        <v>1127</v>
      </c>
      <c r="D183" t="s">
        <v>1069</v>
      </c>
      <c r="E183" t="s">
        <v>31</v>
      </c>
      <c r="F183" t="s">
        <v>1387</v>
      </c>
      <c r="G183">
        <v>5</v>
      </c>
      <c r="H183">
        <v>343</v>
      </c>
      <c r="I183">
        <v>8.1999999999999993</v>
      </c>
      <c r="J183">
        <v>10</v>
      </c>
      <c r="K183">
        <v>55</v>
      </c>
      <c r="L183">
        <v>0</v>
      </c>
      <c r="M183">
        <v>1.8</v>
      </c>
      <c r="N183">
        <v>155</v>
      </c>
      <c r="O183">
        <v>46</v>
      </c>
      <c r="P183">
        <v>0.05</v>
      </c>
      <c r="Q183">
        <v>0.43</v>
      </c>
      <c r="R183">
        <v>0.4</v>
      </c>
      <c r="S183">
        <v>1</v>
      </c>
      <c r="T183">
        <v>275</v>
      </c>
      <c r="U183">
        <v>0.02</v>
      </c>
      <c r="V183">
        <v>0.2</v>
      </c>
      <c r="W183">
        <v>209</v>
      </c>
      <c r="X183">
        <v>320</v>
      </c>
      <c r="Y183">
        <v>150</v>
      </c>
      <c r="Z183">
        <v>1</v>
      </c>
      <c r="AA183">
        <v>100</v>
      </c>
    </row>
    <row r="184" spans="1:28" x14ac:dyDescent="0.2">
      <c r="A184">
        <v>181</v>
      </c>
      <c r="B184" t="s">
        <v>380</v>
      </c>
      <c r="C184" t="s">
        <v>1127</v>
      </c>
      <c r="D184" t="s">
        <v>1371</v>
      </c>
      <c r="E184" t="s">
        <v>31</v>
      </c>
      <c r="F184" t="s">
        <v>1388</v>
      </c>
      <c r="G184">
        <v>3</v>
      </c>
      <c r="H184">
        <v>68</v>
      </c>
      <c r="I184">
        <v>1</v>
      </c>
      <c r="J184">
        <v>0.9</v>
      </c>
      <c r="K184">
        <v>14</v>
      </c>
      <c r="L184">
        <v>0</v>
      </c>
      <c r="M184">
        <v>0.8</v>
      </c>
      <c r="N184">
        <v>0</v>
      </c>
      <c r="O184">
        <v>0</v>
      </c>
      <c r="P184">
        <v>0.06</v>
      </c>
      <c r="Q184">
        <v>0.02</v>
      </c>
      <c r="R184">
        <v>0.6</v>
      </c>
      <c r="S184">
        <v>4</v>
      </c>
      <c r="T184">
        <v>7</v>
      </c>
      <c r="U184">
        <v>0.14000000000000001</v>
      </c>
      <c r="V184">
        <v>1</v>
      </c>
      <c r="W184">
        <v>30</v>
      </c>
      <c r="X184">
        <v>564.6</v>
      </c>
      <c r="Y184">
        <v>18</v>
      </c>
      <c r="Z184">
        <v>0.3</v>
      </c>
      <c r="AA184">
        <v>53</v>
      </c>
    </row>
    <row r="185" spans="1:28" x14ac:dyDescent="0.2">
      <c r="A185">
        <v>181</v>
      </c>
      <c r="B185" t="s">
        <v>380</v>
      </c>
      <c r="C185" t="s">
        <v>1127</v>
      </c>
      <c r="D185" t="s">
        <v>1369</v>
      </c>
      <c r="E185" t="s">
        <v>31</v>
      </c>
      <c r="F185" t="s">
        <v>1389</v>
      </c>
      <c r="G185">
        <v>4</v>
      </c>
      <c r="H185">
        <v>16</v>
      </c>
      <c r="I185">
        <v>0.1</v>
      </c>
      <c r="J185">
        <v>0.4</v>
      </c>
      <c r="K185">
        <v>3</v>
      </c>
      <c r="L185">
        <v>0</v>
      </c>
      <c r="M185">
        <v>0.4</v>
      </c>
      <c r="N185">
        <v>0</v>
      </c>
      <c r="O185">
        <v>0</v>
      </c>
      <c r="P185">
        <v>0</v>
      </c>
      <c r="Q185">
        <v>0</v>
      </c>
      <c r="R185">
        <v>0</v>
      </c>
      <c r="S185">
        <v>1</v>
      </c>
      <c r="T185">
        <v>15</v>
      </c>
      <c r="U185">
        <v>0.04</v>
      </c>
      <c r="V185">
        <v>0.2</v>
      </c>
      <c r="W185">
        <v>8</v>
      </c>
      <c r="X185">
        <v>149</v>
      </c>
      <c r="Y185">
        <v>1</v>
      </c>
      <c r="Z185">
        <v>0.1</v>
      </c>
      <c r="AA185">
        <v>100</v>
      </c>
    </row>
    <row r="186" spans="1:28" x14ac:dyDescent="0.2">
      <c r="A186">
        <v>181</v>
      </c>
      <c r="B186" t="s">
        <v>380</v>
      </c>
      <c r="C186" t="s">
        <v>1127</v>
      </c>
      <c r="D186" t="s">
        <v>1390</v>
      </c>
      <c r="E186" t="s">
        <v>31</v>
      </c>
      <c r="F186" t="s">
        <v>1391</v>
      </c>
      <c r="G186">
        <v>3</v>
      </c>
      <c r="H186">
        <v>65</v>
      </c>
      <c r="I186">
        <v>1</v>
      </c>
      <c r="J186">
        <v>0.3</v>
      </c>
      <c r="K186">
        <v>16.3</v>
      </c>
      <c r="L186">
        <v>3.2</v>
      </c>
      <c r="M186">
        <v>0.7</v>
      </c>
      <c r="O186">
        <v>8</v>
      </c>
      <c r="P186">
        <v>7.0000000000000007E-2</v>
      </c>
      <c r="Q186">
        <v>0.08</v>
      </c>
      <c r="R186">
        <v>0.7</v>
      </c>
      <c r="S186">
        <v>20</v>
      </c>
      <c r="T186">
        <v>14</v>
      </c>
      <c r="U186">
        <v>0.08</v>
      </c>
      <c r="V186">
        <v>0.6</v>
      </c>
      <c r="W186">
        <v>27</v>
      </c>
      <c r="X186">
        <v>298.89999999999998</v>
      </c>
      <c r="Y186">
        <v>2</v>
      </c>
      <c r="Z186">
        <v>1</v>
      </c>
      <c r="AA186">
        <v>68</v>
      </c>
    </row>
    <row r="187" spans="1:28" x14ac:dyDescent="0.2">
      <c r="A187">
        <v>181</v>
      </c>
      <c r="B187" t="s">
        <v>380</v>
      </c>
      <c r="C187" t="s">
        <v>1127</v>
      </c>
      <c r="D187" t="s">
        <v>1380</v>
      </c>
      <c r="E187" t="s">
        <v>31</v>
      </c>
      <c r="F187" t="s">
        <v>1392</v>
      </c>
      <c r="G187">
        <v>2</v>
      </c>
      <c r="H187">
        <v>106</v>
      </c>
      <c r="I187">
        <v>1.2</v>
      </c>
      <c r="J187">
        <v>0.3</v>
      </c>
      <c r="K187">
        <v>27.6</v>
      </c>
      <c r="L187">
        <v>3.7</v>
      </c>
      <c r="M187">
        <v>2.7</v>
      </c>
      <c r="O187">
        <v>149</v>
      </c>
      <c r="P187">
        <v>7.0000000000000007E-2</v>
      </c>
      <c r="Q187">
        <v>0.1</v>
      </c>
      <c r="R187">
        <v>1</v>
      </c>
      <c r="S187">
        <v>7</v>
      </c>
      <c r="T187">
        <v>20</v>
      </c>
      <c r="U187">
        <v>246.58</v>
      </c>
      <c r="V187">
        <v>0.9</v>
      </c>
      <c r="W187">
        <v>19</v>
      </c>
      <c r="X187">
        <v>407</v>
      </c>
      <c r="Y187">
        <v>2</v>
      </c>
      <c r="Z187">
        <v>1.4</v>
      </c>
      <c r="AA187">
        <v>28</v>
      </c>
    </row>
    <row r="188" spans="1:28" x14ac:dyDescent="0.2">
      <c r="A188">
        <v>181</v>
      </c>
      <c r="B188" t="s">
        <v>380</v>
      </c>
      <c r="C188" t="s">
        <v>1127</v>
      </c>
      <c r="D188" t="s">
        <v>1382</v>
      </c>
      <c r="E188" t="s">
        <v>31</v>
      </c>
      <c r="F188" t="s">
        <v>1393</v>
      </c>
      <c r="G188">
        <v>3</v>
      </c>
      <c r="H188">
        <v>85</v>
      </c>
      <c r="I188">
        <v>0.9</v>
      </c>
      <c r="J188">
        <v>6.5</v>
      </c>
      <c r="K188">
        <v>7.7</v>
      </c>
      <c r="M188">
        <v>0.6</v>
      </c>
      <c r="O188">
        <v>189</v>
      </c>
      <c r="P188">
        <v>0.05</v>
      </c>
      <c r="Q188">
        <v>0.08</v>
      </c>
      <c r="R188">
        <v>1</v>
      </c>
      <c r="S188">
        <v>13</v>
      </c>
      <c r="T188">
        <v>10</v>
      </c>
      <c r="U188">
        <v>0.2</v>
      </c>
      <c r="V188">
        <v>0.9</v>
      </c>
      <c r="W188">
        <v>20</v>
      </c>
      <c r="X188">
        <v>278</v>
      </c>
      <c r="Y188">
        <v>2</v>
      </c>
      <c r="Z188">
        <v>0.4</v>
      </c>
      <c r="AA188">
        <v>61</v>
      </c>
    </row>
    <row r="189" spans="1:28" x14ac:dyDescent="0.2">
      <c r="A189" s="5">
        <v>181</v>
      </c>
      <c r="B189" s="5" t="s">
        <v>380</v>
      </c>
      <c r="C189" s="5" t="s">
        <v>1127</v>
      </c>
      <c r="D189" s="5"/>
      <c r="E189" s="5" t="s">
        <v>1151</v>
      </c>
      <c r="F189" s="5" t="s">
        <v>1152</v>
      </c>
      <c r="G189" s="5">
        <f>SUM(G173:G188)</f>
        <v>100</v>
      </c>
      <c r="H189" s="5">
        <f t="shared" ref="H189:AA189" si="14">SUMPRODUCT($G$173:$G$188/100,H173:H188)</f>
        <v>79.200000000000017</v>
      </c>
      <c r="I189" s="5">
        <f t="shared" si="14"/>
        <v>2.0760000000000001</v>
      </c>
      <c r="J189" s="5">
        <f t="shared" si="14"/>
        <v>1.7529999999999999</v>
      </c>
      <c r="K189" s="5">
        <f t="shared" si="14"/>
        <v>14.362</v>
      </c>
      <c r="L189" s="5">
        <f t="shared" si="14"/>
        <v>0.7410000000000001</v>
      </c>
      <c r="M189" s="5">
        <f t="shared" si="14"/>
        <v>0.68800000000000017</v>
      </c>
      <c r="N189" s="5">
        <f t="shared" si="14"/>
        <v>13.95</v>
      </c>
      <c r="O189" s="5">
        <f t="shared" si="14"/>
        <v>45.489999999999995</v>
      </c>
      <c r="P189" s="5">
        <f t="shared" si="14"/>
        <v>3.2500000000000001E-2</v>
      </c>
      <c r="Q189" s="5">
        <f t="shared" si="14"/>
        <v>6.5600000000000006E-2</v>
      </c>
      <c r="R189" s="5">
        <f t="shared" si="14"/>
        <v>0.34600000000000009</v>
      </c>
      <c r="S189" s="5">
        <f t="shared" si="14"/>
        <v>4.3899999999999997</v>
      </c>
      <c r="T189" s="5">
        <f t="shared" si="14"/>
        <v>49.000000000000007</v>
      </c>
      <c r="U189" s="5">
        <f t="shared" si="14"/>
        <v>12.415700000000001</v>
      </c>
      <c r="V189" s="5">
        <f t="shared" si="14"/>
        <v>0.65100000000000013</v>
      </c>
      <c r="W189" s="5">
        <f t="shared" si="14"/>
        <v>42.530000000000008</v>
      </c>
      <c r="X189" s="5">
        <f t="shared" si="14"/>
        <v>195.607</v>
      </c>
      <c r="Y189" s="5">
        <f t="shared" si="14"/>
        <v>17.919999999999995</v>
      </c>
      <c r="Z189" s="5">
        <f t="shared" si="14"/>
        <v>0.42000000000000004</v>
      </c>
      <c r="AA189" s="5">
        <f t="shared" si="14"/>
        <v>83.600000000000009</v>
      </c>
      <c r="AB189" s="6" t="s">
        <v>1394</v>
      </c>
    </row>
    <row r="190" spans="1:28" x14ac:dyDescent="0.2">
      <c r="A190">
        <v>182</v>
      </c>
      <c r="B190" t="s">
        <v>382</v>
      </c>
      <c r="C190" t="s">
        <v>1127</v>
      </c>
      <c r="D190" t="s">
        <v>1395</v>
      </c>
      <c r="E190" t="s">
        <v>285</v>
      </c>
      <c r="F190" t="s">
        <v>1396</v>
      </c>
      <c r="G190">
        <v>50</v>
      </c>
      <c r="H190">
        <v>43</v>
      </c>
      <c r="I190">
        <v>0.46</v>
      </c>
      <c r="J190">
        <v>0</v>
      </c>
      <c r="K190">
        <v>3.55</v>
      </c>
      <c r="L190">
        <v>0</v>
      </c>
      <c r="M190">
        <v>0.16</v>
      </c>
      <c r="N190">
        <v>0</v>
      </c>
      <c r="O190">
        <v>0</v>
      </c>
      <c r="P190">
        <v>5.0000000000000001E-3</v>
      </c>
      <c r="Q190">
        <v>2.5000000000000001E-2</v>
      </c>
      <c r="R190">
        <v>0.51300000000000001</v>
      </c>
      <c r="S190">
        <v>0</v>
      </c>
      <c r="T190">
        <v>4</v>
      </c>
      <c r="U190">
        <v>5.0000000000000001E-3</v>
      </c>
      <c r="V190">
        <v>0.02</v>
      </c>
      <c r="W190">
        <v>14</v>
      </c>
      <c r="X190">
        <v>27</v>
      </c>
      <c r="Y190">
        <v>4</v>
      </c>
      <c r="Z190">
        <v>0.01</v>
      </c>
      <c r="AA190">
        <v>100</v>
      </c>
    </row>
    <row r="191" spans="1:28" x14ac:dyDescent="0.2">
      <c r="A191">
        <v>182</v>
      </c>
      <c r="B191" t="s">
        <v>382</v>
      </c>
      <c r="C191" t="s">
        <v>1127</v>
      </c>
      <c r="D191" t="s">
        <v>1397</v>
      </c>
      <c r="E191" t="s">
        <v>285</v>
      </c>
      <c r="F191" t="s">
        <v>1398</v>
      </c>
      <c r="G191">
        <v>50</v>
      </c>
      <c r="H191">
        <v>295</v>
      </c>
      <c r="I191">
        <v>0</v>
      </c>
      <c r="J191">
        <v>0</v>
      </c>
      <c r="K191">
        <v>0</v>
      </c>
      <c r="L191">
        <v>0</v>
      </c>
      <c r="M191">
        <v>0.01</v>
      </c>
      <c r="N191">
        <v>0</v>
      </c>
      <c r="O191">
        <v>0</v>
      </c>
      <c r="P191">
        <v>6.0000000000000001E-3</v>
      </c>
      <c r="Q191">
        <v>4.0000000000000001E-3</v>
      </c>
      <c r="R191">
        <v>1.2999999999999999E-2</v>
      </c>
      <c r="S191">
        <v>0</v>
      </c>
      <c r="T191">
        <v>0</v>
      </c>
      <c r="U191">
        <v>2.1000000000000001E-2</v>
      </c>
      <c r="V191">
        <v>0.04</v>
      </c>
      <c r="W191">
        <v>4</v>
      </c>
      <c r="X191">
        <v>2</v>
      </c>
      <c r="Y191">
        <v>1</v>
      </c>
      <c r="Z191">
        <v>0.04</v>
      </c>
      <c r="AA191">
        <v>100</v>
      </c>
      <c r="AB191" t="s">
        <v>1399</v>
      </c>
    </row>
    <row r="192" spans="1:28" x14ac:dyDescent="0.2">
      <c r="A192" s="5">
        <v>182</v>
      </c>
      <c r="B192" s="5" t="s">
        <v>382</v>
      </c>
      <c r="C192" s="5" t="s">
        <v>1127</v>
      </c>
      <c r="D192" s="5"/>
      <c r="E192" s="5" t="s">
        <v>1151</v>
      </c>
      <c r="F192" s="5" t="s">
        <v>1152</v>
      </c>
      <c r="G192" s="5">
        <f>SUM(G190:G191)</f>
        <v>100</v>
      </c>
      <c r="H192" s="5">
        <f t="shared" ref="H192:AA192" si="15">SUMPRODUCT($G$190:$G$191/100,H190:H191)</f>
        <v>169</v>
      </c>
      <c r="I192" s="5">
        <f t="shared" si="15"/>
        <v>0.23</v>
      </c>
      <c r="J192" s="5">
        <f t="shared" si="15"/>
        <v>0</v>
      </c>
      <c r="K192" s="5">
        <f t="shared" si="15"/>
        <v>1.7749999999999999</v>
      </c>
      <c r="L192" s="5">
        <f t="shared" si="15"/>
        <v>0</v>
      </c>
      <c r="M192" s="5">
        <f t="shared" si="15"/>
        <v>8.5000000000000006E-2</v>
      </c>
      <c r="N192" s="5">
        <f t="shared" si="15"/>
        <v>0</v>
      </c>
      <c r="O192" s="5">
        <f t="shared" si="15"/>
        <v>0</v>
      </c>
      <c r="P192" s="5">
        <f t="shared" si="15"/>
        <v>5.4999999999999997E-3</v>
      </c>
      <c r="Q192" s="5">
        <f t="shared" si="15"/>
        <v>1.4500000000000001E-2</v>
      </c>
      <c r="R192" s="5">
        <f t="shared" si="15"/>
        <v>0.26300000000000001</v>
      </c>
      <c r="S192" s="5">
        <f t="shared" si="15"/>
        <v>0</v>
      </c>
      <c r="T192" s="5">
        <f t="shared" si="15"/>
        <v>2</v>
      </c>
      <c r="U192" s="5">
        <f t="shared" si="15"/>
        <v>1.3000000000000001E-2</v>
      </c>
      <c r="V192" s="5">
        <f t="shared" si="15"/>
        <v>0.03</v>
      </c>
      <c r="W192" s="5">
        <f t="shared" si="15"/>
        <v>9</v>
      </c>
      <c r="X192" s="5">
        <f t="shared" si="15"/>
        <v>14.5</v>
      </c>
      <c r="Y192" s="5">
        <f t="shared" si="15"/>
        <v>2.5</v>
      </c>
      <c r="Z192" s="5">
        <f t="shared" si="15"/>
        <v>2.5000000000000001E-2</v>
      </c>
      <c r="AA192" s="5">
        <f t="shared" si="15"/>
        <v>100</v>
      </c>
      <c r="AB192" s="6" t="s">
        <v>1338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83"/>
  <sheetViews>
    <sheetView tabSelected="1" zoomScale="130" zoomScaleNormal="130" workbookViewId="0">
      <pane xSplit="6" ySplit="1" topLeftCell="O73" activePane="bottomRight" state="frozen"/>
      <selection pane="topRight"/>
      <selection pane="bottomLeft"/>
      <selection pane="bottomRight" activeCell="C107" sqref="C107"/>
    </sheetView>
  </sheetViews>
  <sheetFormatPr baseColWidth="10" defaultColWidth="8.83203125" defaultRowHeight="15" x14ac:dyDescent="0.2"/>
  <cols>
    <col min="1" max="1" width="13.5" bestFit="1" customWidth="1"/>
    <col min="2" max="2" width="14.1640625" bestFit="1" customWidth="1"/>
    <col min="3" max="3" width="14" bestFit="1" customWidth="1"/>
    <col min="4" max="4" width="12.5" bestFit="1" customWidth="1"/>
    <col min="5" max="5" width="8.83203125" bestFit="1" customWidth="1"/>
    <col min="6" max="7" width="16.1640625" customWidth="1"/>
    <col min="8" max="8" width="9.5" bestFit="1" customWidth="1"/>
    <col min="9" max="9" width="5.6640625" bestFit="1" customWidth="1"/>
    <col min="10" max="10" width="10.1640625" bestFit="1" customWidth="1"/>
    <col min="11" max="11" width="14" bestFit="1" customWidth="1"/>
    <col min="12" max="12" width="7.33203125" bestFit="1" customWidth="1"/>
    <col min="13" max="13" width="6.1640625" bestFit="1" customWidth="1"/>
    <col min="14" max="14" width="9" bestFit="1" customWidth="1"/>
    <col min="15" max="15" width="15" bestFit="1" customWidth="1"/>
    <col min="16" max="16" width="9.6640625" bestFit="1" customWidth="1"/>
    <col min="17" max="17" width="11" bestFit="1" customWidth="1"/>
    <col min="18" max="18" width="8.33203125" bestFit="1" customWidth="1"/>
    <col min="19" max="19" width="11.1640625" bestFit="1" customWidth="1"/>
    <col min="20" max="20" width="9.6640625" bestFit="1" customWidth="1"/>
    <col min="21" max="21" width="9.1640625" bestFit="1" customWidth="1"/>
    <col min="22" max="22" width="6.83203125" bestFit="1" customWidth="1"/>
    <col min="23" max="23" width="12.6640625" bestFit="1" customWidth="1"/>
    <col min="24" max="24" width="11.5" bestFit="1" customWidth="1"/>
    <col min="25" max="25" width="9.33203125" bestFit="1" customWidth="1"/>
    <col min="26" max="27" width="6.6640625" bestFit="1" customWidth="1"/>
  </cols>
  <sheetData>
    <row r="1" spans="1:27" ht="17" customHeight="1"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row>
    <row r="2" spans="1:27" x14ac:dyDescent="0.2">
      <c r="B2">
        <v>1</v>
      </c>
      <c r="C2" t="s">
        <v>27</v>
      </c>
      <c r="D2" t="s">
        <v>27</v>
      </c>
      <c r="E2" t="s">
        <v>28</v>
      </c>
      <c r="F2">
        <v>0</v>
      </c>
      <c r="G2" s="7"/>
      <c r="H2" s="7"/>
      <c r="I2" s="7"/>
      <c r="J2" s="7"/>
      <c r="K2" s="7"/>
      <c r="L2" s="7"/>
      <c r="M2" s="7"/>
      <c r="N2" s="7"/>
      <c r="O2" s="7"/>
      <c r="P2" s="7"/>
      <c r="Q2" s="7"/>
      <c r="R2" s="7"/>
      <c r="S2" s="7"/>
      <c r="T2" s="7"/>
      <c r="U2" s="7"/>
      <c r="V2" s="7"/>
      <c r="W2" s="7"/>
      <c r="X2" s="7"/>
      <c r="Y2" s="7"/>
      <c r="Z2" s="7"/>
      <c r="AA2" s="7"/>
    </row>
    <row r="3" spans="1:27" x14ac:dyDescent="0.2">
      <c r="A3" t="s">
        <v>29</v>
      </c>
      <c r="B3">
        <v>2</v>
      </c>
      <c r="C3" t="s">
        <v>30</v>
      </c>
      <c r="D3" t="s">
        <v>27</v>
      </c>
      <c r="E3" t="s">
        <v>31</v>
      </c>
      <c r="F3">
        <v>1</v>
      </c>
      <c r="G3" s="7">
        <v>359</v>
      </c>
      <c r="H3" s="7">
        <v>7.9333333333333336</v>
      </c>
      <c r="I3" s="7">
        <v>1.8</v>
      </c>
      <c r="J3" s="12">
        <v>0</v>
      </c>
      <c r="K3" s="7">
        <v>77.25555555555556</v>
      </c>
      <c r="L3" s="7">
        <v>3.5666666666666669</v>
      </c>
      <c r="M3" s="7">
        <v>0.9</v>
      </c>
      <c r="N3" s="7">
        <v>0</v>
      </c>
      <c r="O3" s="7">
        <v>0</v>
      </c>
      <c r="P3" s="7">
        <v>0.27</v>
      </c>
      <c r="Q3" s="7">
        <v>7.6666666666666675E-2</v>
      </c>
      <c r="R3" s="7">
        <v>2.5444444444444438</v>
      </c>
      <c r="S3" s="7">
        <v>0</v>
      </c>
      <c r="T3" s="7">
        <v>48.111111111111107</v>
      </c>
      <c r="U3" s="7">
        <v>0.1866666666666667</v>
      </c>
      <c r="V3" s="7">
        <v>1.6888888888888891</v>
      </c>
      <c r="W3" s="7">
        <v>158.2222222222222</v>
      </c>
      <c r="X3" s="7">
        <v>99.211111111111123</v>
      </c>
      <c r="Y3" s="7">
        <v>25.222222222222221</v>
      </c>
      <c r="Z3" s="7">
        <v>0.94444444444444442</v>
      </c>
      <c r="AA3" s="7">
        <v>100</v>
      </c>
    </row>
    <row r="4" spans="1:27" x14ac:dyDescent="0.2">
      <c r="A4" t="s">
        <v>32</v>
      </c>
      <c r="B4">
        <v>3</v>
      </c>
      <c r="C4" t="s">
        <v>33</v>
      </c>
      <c r="D4" t="s">
        <v>27</v>
      </c>
      <c r="E4" t="s">
        <v>31</v>
      </c>
      <c r="F4">
        <v>1</v>
      </c>
      <c r="G4" s="7">
        <v>360.5</v>
      </c>
      <c r="H4" s="7">
        <v>7.7</v>
      </c>
      <c r="I4" s="7">
        <v>1.55</v>
      </c>
      <c r="J4" s="12">
        <v>0</v>
      </c>
      <c r="K4" s="7">
        <v>76.45</v>
      </c>
      <c r="L4" s="7">
        <v>0.7</v>
      </c>
      <c r="M4" s="7">
        <v>1</v>
      </c>
      <c r="N4" s="7">
        <v>0</v>
      </c>
      <c r="O4" s="7">
        <v>0</v>
      </c>
      <c r="P4" s="7">
        <v>0.26</v>
      </c>
      <c r="Q4" s="7">
        <v>0.05</v>
      </c>
      <c r="R4" s="7">
        <v>1.7</v>
      </c>
      <c r="S4" s="7">
        <v>0</v>
      </c>
      <c r="T4" s="7">
        <v>11.5</v>
      </c>
      <c r="U4" s="7">
        <v>0.28000000000000003</v>
      </c>
      <c r="V4" s="7">
        <v>4.8</v>
      </c>
      <c r="W4" s="7">
        <v>252</v>
      </c>
      <c r="X4" s="7">
        <v>285</v>
      </c>
      <c r="Y4" s="7">
        <v>7</v>
      </c>
      <c r="Z4" s="7">
        <v>2.2000000000000002</v>
      </c>
      <c r="AA4" s="7">
        <v>100</v>
      </c>
    </row>
    <row r="5" spans="1:27" x14ac:dyDescent="0.2">
      <c r="A5" t="s">
        <v>34</v>
      </c>
      <c r="B5">
        <v>4</v>
      </c>
      <c r="C5" t="s">
        <v>35</v>
      </c>
      <c r="D5" t="s">
        <v>27</v>
      </c>
      <c r="E5" t="s">
        <v>31</v>
      </c>
      <c r="F5">
        <v>1</v>
      </c>
      <c r="G5" s="7">
        <v>147</v>
      </c>
      <c r="H5" s="7">
        <v>5.0999999999999996</v>
      </c>
      <c r="I5" s="7">
        <v>0.7</v>
      </c>
      <c r="J5" s="12">
        <v>0</v>
      </c>
      <c r="K5" s="7">
        <v>31.5</v>
      </c>
      <c r="L5" s="7">
        <v>1.3</v>
      </c>
      <c r="M5" s="7">
        <v>0.9</v>
      </c>
      <c r="N5" s="7">
        <v>0</v>
      </c>
      <c r="O5" s="7">
        <v>113</v>
      </c>
      <c r="P5" s="7">
        <v>0.24</v>
      </c>
      <c r="Q5" s="7">
        <v>0.1</v>
      </c>
      <c r="R5" s="7">
        <v>0.8</v>
      </c>
      <c r="S5" s="7">
        <v>9</v>
      </c>
      <c r="T5" s="7">
        <v>6</v>
      </c>
      <c r="U5" s="7">
        <v>0.13</v>
      </c>
      <c r="V5" s="7">
        <v>1.1000000000000001</v>
      </c>
      <c r="W5" s="7">
        <v>122</v>
      </c>
      <c r="X5" s="7">
        <v>33.6</v>
      </c>
      <c r="Y5" s="7">
        <v>5</v>
      </c>
      <c r="Z5" s="7">
        <v>0.9</v>
      </c>
      <c r="AA5" s="7">
        <v>100</v>
      </c>
    </row>
    <row r="6" spans="1:27" x14ac:dyDescent="0.2">
      <c r="A6" t="s">
        <v>36</v>
      </c>
      <c r="B6">
        <v>5</v>
      </c>
      <c r="C6" t="s">
        <v>37</v>
      </c>
      <c r="D6" t="s">
        <v>27</v>
      </c>
      <c r="E6" t="s">
        <v>31</v>
      </c>
      <c r="F6">
        <v>2</v>
      </c>
      <c r="G6" s="7">
        <v>356.66666666666669</v>
      </c>
      <c r="H6" s="7">
        <v>6.8666666666666671</v>
      </c>
      <c r="I6" s="7">
        <v>3.2333333333333329</v>
      </c>
      <c r="J6" s="12">
        <v>0</v>
      </c>
      <c r="K6" s="7">
        <v>76.150000000000006</v>
      </c>
      <c r="L6" s="7">
        <v>4.75</v>
      </c>
      <c r="M6" s="7">
        <v>1.1166666666666669</v>
      </c>
      <c r="N6" s="8">
        <v>0</v>
      </c>
      <c r="O6" s="7">
        <v>571.4</v>
      </c>
      <c r="P6" s="7">
        <v>0.1566666666666667</v>
      </c>
      <c r="Q6" s="7">
        <v>8.6000000000000007E-2</v>
      </c>
      <c r="R6" s="7">
        <v>1.1399999999999999</v>
      </c>
      <c r="S6" s="7">
        <v>1.2</v>
      </c>
      <c r="T6" s="7">
        <v>15.83333333333333</v>
      </c>
      <c r="U6" s="7">
        <v>1.5833333333333339</v>
      </c>
      <c r="V6" s="7">
        <v>2.166666666666667</v>
      </c>
      <c r="W6" s="7">
        <v>250.3333333333334</v>
      </c>
      <c r="X6" s="7">
        <v>77.84</v>
      </c>
      <c r="Y6" s="7">
        <v>1.8</v>
      </c>
      <c r="Z6" s="7">
        <v>3.9799999999999991</v>
      </c>
      <c r="AA6" s="7">
        <v>100</v>
      </c>
    </row>
    <row r="7" spans="1:27" x14ac:dyDescent="0.2">
      <c r="A7" t="s">
        <v>38</v>
      </c>
      <c r="B7">
        <v>6</v>
      </c>
      <c r="C7" t="s">
        <v>39</v>
      </c>
      <c r="D7" t="s">
        <v>27</v>
      </c>
      <c r="E7" t="s">
        <v>31</v>
      </c>
      <c r="F7">
        <v>1</v>
      </c>
      <c r="G7" s="7">
        <v>333</v>
      </c>
      <c r="H7" s="7">
        <v>9</v>
      </c>
      <c r="I7" s="7">
        <v>1</v>
      </c>
      <c r="J7" s="12">
        <v>0</v>
      </c>
      <c r="K7" s="7">
        <v>77.2</v>
      </c>
      <c r="L7" s="7">
        <v>0.3</v>
      </c>
      <c r="M7" s="7">
        <v>1</v>
      </c>
      <c r="N7" s="7">
        <v>0</v>
      </c>
      <c r="O7" s="7">
        <v>0</v>
      </c>
      <c r="P7" s="7">
        <v>0.1</v>
      </c>
      <c r="Q7" s="7">
        <v>7.0000000000000007E-2</v>
      </c>
      <c r="R7" s="7">
        <v>1</v>
      </c>
      <c r="S7" s="7">
        <v>0</v>
      </c>
      <c r="T7" s="7">
        <v>22</v>
      </c>
      <c r="U7" s="7">
        <v>0</v>
      </c>
      <c r="V7" s="7">
        <v>1.3</v>
      </c>
      <c r="W7" s="7">
        <v>150</v>
      </c>
      <c r="X7" s="7">
        <v>0</v>
      </c>
      <c r="Y7" s="7">
        <v>2</v>
      </c>
      <c r="Z7" s="7">
        <v>2.8</v>
      </c>
      <c r="AA7" s="7">
        <v>100</v>
      </c>
    </row>
    <row r="8" spans="1:27" x14ac:dyDescent="0.2">
      <c r="A8" t="s">
        <v>40</v>
      </c>
      <c r="B8">
        <v>7</v>
      </c>
      <c r="C8" t="s">
        <v>41</v>
      </c>
      <c r="D8" t="s">
        <v>27</v>
      </c>
      <c r="E8" t="s">
        <v>31</v>
      </c>
      <c r="F8">
        <v>1</v>
      </c>
      <c r="G8" s="7">
        <v>351</v>
      </c>
      <c r="H8" s="7">
        <v>9.4749999999999996</v>
      </c>
      <c r="I8" s="7">
        <v>3.05</v>
      </c>
      <c r="J8" s="12">
        <v>0</v>
      </c>
      <c r="K8" s="7">
        <v>71.400000000000006</v>
      </c>
      <c r="L8" s="7">
        <v>3.55</v>
      </c>
      <c r="M8" s="7">
        <v>1.675</v>
      </c>
      <c r="N8" s="7">
        <v>0</v>
      </c>
      <c r="O8" s="7">
        <v>22</v>
      </c>
      <c r="P8" s="7">
        <v>0.26750000000000002</v>
      </c>
      <c r="Q8" s="7">
        <v>0.2</v>
      </c>
      <c r="R8" s="7">
        <v>2.4500000000000002</v>
      </c>
      <c r="S8" s="7">
        <v>0</v>
      </c>
      <c r="T8" s="7">
        <v>149.5</v>
      </c>
      <c r="U8" s="7">
        <v>0.41666666666666669</v>
      </c>
      <c r="V8" s="7">
        <v>6.5</v>
      </c>
      <c r="W8" s="7">
        <v>257</v>
      </c>
      <c r="X8" s="7">
        <v>300.26666666666671</v>
      </c>
      <c r="Y8" s="7">
        <v>22.75</v>
      </c>
      <c r="Z8" s="7">
        <v>1.166666666666667</v>
      </c>
      <c r="AA8" s="7">
        <v>97.5</v>
      </c>
    </row>
    <row r="9" spans="1:27" x14ac:dyDescent="0.2">
      <c r="B9">
        <v>8</v>
      </c>
      <c r="C9" t="s">
        <v>42</v>
      </c>
      <c r="D9" t="s">
        <v>42</v>
      </c>
      <c r="E9" t="s">
        <v>28</v>
      </c>
      <c r="F9">
        <v>0</v>
      </c>
      <c r="G9" s="7"/>
      <c r="H9" s="7"/>
      <c r="I9" s="7"/>
      <c r="J9" s="7"/>
      <c r="K9" s="7"/>
      <c r="L9" s="7"/>
      <c r="M9" s="7"/>
      <c r="N9" s="7"/>
      <c r="O9" s="7"/>
      <c r="P9" s="7"/>
      <c r="Q9" s="7"/>
      <c r="R9" s="7"/>
      <c r="S9" s="7"/>
      <c r="T9" s="7"/>
      <c r="U9" s="7"/>
      <c r="V9" s="7"/>
      <c r="W9" s="7"/>
      <c r="X9" s="7"/>
      <c r="Y9" s="7"/>
      <c r="Z9" s="7"/>
      <c r="AA9" s="7"/>
    </row>
    <row r="10" spans="1:27" x14ac:dyDescent="0.2">
      <c r="A10" t="s">
        <v>43</v>
      </c>
      <c r="B10">
        <v>9</v>
      </c>
      <c r="C10" t="s">
        <v>44</v>
      </c>
      <c r="D10" t="s">
        <v>42</v>
      </c>
      <c r="E10" t="s">
        <v>31</v>
      </c>
      <c r="F10">
        <v>1</v>
      </c>
      <c r="G10" s="7">
        <v>154</v>
      </c>
      <c r="H10" s="7">
        <v>1</v>
      </c>
      <c r="I10" s="7">
        <v>0.3</v>
      </c>
      <c r="J10" s="12">
        <v>0</v>
      </c>
      <c r="K10" s="7">
        <v>36.799999999999997</v>
      </c>
      <c r="L10" s="7">
        <v>0.9</v>
      </c>
      <c r="M10" s="7">
        <v>0.5</v>
      </c>
      <c r="N10" s="7">
        <v>0</v>
      </c>
      <c r="O10" s="7">
        <v>0</v>
      </c>
      <c r="P10" s="7">
        <v>0.06</v>
      </c>
      <c r="Q10" s="7">
        <v>0.1</v>
      </c>
      <c r="R10" s="7">
        <v>0.5</v>
      </c>
      <c r="S10" s="7">
        <v>31</v>
      </c>
      <c r="T10" s="7">
        <v>77</v>
      </c>
      <c r="U10" s="7">
        <v>0.3</v>
      </c>
      <c r="V10" s="7">
        <v>1.1000000000000001</v>
      </c>
      <c r="W10" s="7">
        <v>24</v>
      </c>
      <c r="X10" s="7">
        <v>394</v>
      </c>
      <c r="Y10" s="7">
        <v>2</v>
      </c>
      <c r="Z10" s="7">
        <v>0.4</v>
      </c>
      <c r="AA10" s="7">
        <v>85</v>
      </c>
    </row>
    <row r="11" spans="1:27" x14ac:dyDescent="0.2">
      <c r="A11" t="s">
        <v>45</v>
      </c>
      <c r="B11">
        <v>10</v>
      </c>
      <c r="C11" t="s">
        <v>46</v>
      </c>
      <c r="D11" t="s">
        <v>42</v>
      </c>
      <c r="E11" t="s">
        <v>31</v>
      </c>
      <c r="F11">
        <v>1</v>
      </c>
      <c r="G11" s="7">
        <v>111.5</v>
      </c>
      <c r="H11" s="7">
        <v>1.216666666666667</v>
      </c>
      <c r="I11" s="7">
        <v>0.3666666666666667</v>
      </c>
      <c r="J11" s="12">
        <v>0</v>
      </c>
      <c r="K11" s="7">
        <v>34.633333333333333</v>
      </c>
      <c r="L11" s="7">
        <v>2.7166666666666668</v>
      </c>
      <c r="M11" s="7">
        <v>0.9</v>
      </c>
      <c r="N11" s="7">
        <v>0</v>
      </c>
      <c r="O11" s="7">
        <v>136.66666666666671</v>
      </c>
      <c r="P11" s="7">
        <v>9.5000000000000001E-2</v>
      </c>
      <c r="Q11" s="7">
        <v>0.1283333333333333</v>
      </c>
      <c r="R11" s="7">
        <v>0.51666666666666661</v>
      </c>
      <c r="S11" s="7">
        <v>16</v>
      </c>
      <c r="T11" s="7">
        <v>25.833333333333329</v>
      </c>
      <c r="U11" s="7">
        <v>0.16666666666666671</v>
      </c>
      <c r="V11" s="7">
        <v>0.91666666666666685</v>
      </c>
      <c r="W11" s="7">
        <v>61.333333333333329</v>
      </c>
      <c r="X11" s="7">
        <v>217.3833333333333</v>
      </c>
      <c r="Y11" s="7">
        <v>27</v>
      </c>
      <c r="Z11" s="7">
        <v>0.33333333333333331</v>
      </c>
      <c r="AA11" s="7">
        <v>85.5</v>
      </c>
    </row>
    <row r="12" spans="1:27" x14ac:dyDescent="0.2">
      <c r="A12" t="s">
        <v>47</v>
      </c>
      <c r="B12">
        <v>11</v>
      </c>
      <c r="C12" t="s">
        <v>48</v>
      </c>
      <c r="D12" t="s">
        <v>42</v>
      </c>
      <c r="E12" t="s">
        <v>31</v>
      </c>
      <c r="F12">
        <v>1</v>
      </c>
      <c r="G12" s="7">
        <v>311</v>
      </c>
      <c r="H12" s="7">
        <v>0.7</v>
      </c>
      <c r="I12" s="7">
        <v>0.53333333333333333</v>
      </c>
      <c r="J12" s="12">
        <v>0</v>
      </c>
      <c r="K12" s="7">
        <v>75.8</v>
      </c>
      <c r="L12" s="7">
        <v>2.7333333333333329</v>
      </c>
      <c r="M12" s="7">
        <v>0.33333333333333343</v>
      </c>
      <c r="N12" s="7">
        <v>0</v>
      </c>
      <c r="O12" s="7">
        <v>0</v>
      </c>
      <c r="P12" s="7">
        <v>0.18</v>
      </c>
      <c r="Q12" s="7">
        <v>3.333333333333334E-2</v>
      </c>
      <c r="R12" s="7">
        <v>0.16666666666666671</v>
      </c>
      <c r="S12" s="7">
        <v>0</v>
      </c>
      <c r="T12" s="7">
        <v>47</v>
      </c>
      <c r="U12" s="7">
        <v>6.6666666666666666E-2</v>
      </c>
      <c r="V12" s="7">
        <v>0.83333333333333337</v>
      </c>
      <c r="W12" s="7">
        <v>72.333333333333329</v>
      </c>
      <c r="X12" s="7">
        <v>66.666666666666657</v>
      </c>
      <c r="Y12" s="7">
        <v>6.666666666666667</v>
      </c>
      <c r="Z12" s="7">
        <v>0.16666666666666671</v>
      </c>
      <c r="AA12" s="7">
        <v>100</v>
      </c>
    </row>
    <row r="13" spans="1:27" x14ac:dyDescent="0.2">
      <c r="A13" t="s">
        <v>49</v>
      </c>
      <c r="B13">
        <v>12</v>
      </c>
      <c r="C13" t="s">
        <v>50</v>
      </c>
      <c r="D13" t="s">
        <v>42</v>
      </c>
      <c r="E13" t="s">
        <v>31</v>
      </c>
      <c r="F13">
        <v>1</v>
      </c>
      <c r="G13" s="7">
        <v>150.85714285714289</v>
      </c>
      <c r="H13" s="7">
        <v>1.485714285714286</v>
      </c>
      <c r="I13" s="7">
        <v>0.4</v>
      </c>
      <c r="J13" s="12">
        <v>0</v>
      </c>
      <c r="K13" s="7">
        <v>34.9</v>
      </c>
      <c r="L13" s="7">
        <v>2.9142857142857141</v>
      </c>
      <c r="M13" s="7">
        <v>1.0571428571428569</v>
      </c>
      <c r="N13" s="7">
        <v>0</v>
      </c>
      <c r="O13" s="7">
        <v>9.2857142857142865</v>
      </c>
      <c r="P13" s="7">
        <v>5.2857142857142859E-2</v>
      </c>
      <c r="Q13" s="7">
        <v>9.5714285714285724E-2</v>
      </c>
      <c r="R13" s="7">
        <v>1.357142857142857</v>
      </c>
      <c r="S13" s="7">
        <v>2.6</v>
      </c>
      <c r="T13" s="7">
        <v>37.857142857142847</v>
      </c>
      <c r="U13" s="7">
        <v>0.27142857142857141</v>
      </c>
      <c r="V13" s="7">
        <v>1.285714285714286</v>
      </c>
      <c r="W13" s="7">
        <v>78</v>
      </c>
      <c r="X13" s="7">
        <v>381.04285714285709</v>
      </c>
      <c r="Y13" s="7">
        <v>11.33333333333333</v>
      </c>
      <c r="Z13" s="7">
        <v>0.9285714285714286</v>
      </c>
      <c r="AA13" s="7">
        <v>85.142857142857139</v>
      </c>
    </row>
    <row r="14" spans="1:27" x14ac:dyDescent="0.2">
      <c r="A14" t="s">
        <v>51</v>
      </c>
      <c r="B14">
        <v>13</v>
      </c>
      <c r="C14" t="s">
        <v>52</v>
      </c>
      <c r="D14" t="s">
        <v>42</v>
      </c>
      <c r="E14" t="s">
        <v>31</v>
      </c>
      <c r="F14">
        <v>1</v>
      </c>
      <c r="G14" s="7">
        <v>102</v>
      </c>
      <c r="H14" s="7">
        <v>1.5</v>
      </c>
      <c r="I14" s="7">
        <v>0.3</v>
      </c>
      <c r="J14" s="12">
        <v>0</v>
      </c>
      <c r="K14" s="7">
        <v>23.6</v>
      </c>
      <c r="L14" s="7">
        <v>2.95</v>
      </c>
      <c r="M14" s="7">
        <v>0.9</v>
      </c>
      <c r="N14" s="7">
        <v>0</v>
      </c>
      <c r="O14" s="7">
        <v>0</v>
      </c>
      <c r="P14" s="7">
        <v>5.4999999999999993E-2</v>
      </c>
      <c r="Q14" s="7">
        <v>0.1</v>
      </c>
      <c r="R14" s="7">
        <v>1.6</v>
      </c>
      <c r="S14" s="7">
        <v>29.5</v>
      </c>
      <c r="T14" s="7">
        <v>48.5</v>
      </c>
      <c r="U14" s="7">
        <v>0.65</v>
      </c>
      <c r="V14" s="7">
        <v>0.45</v>
      </c>
      <c r="W14" s="7">
        <v>66.5</v>
      </c>
      <c r="X14" s="7">
        <v>643.15</v>
      </c>
      <c r="Y14" s="7">
        <v>14.5</v>
      </c>
      <c r="Z14" s="7">
        <v>0.45</v>
      </c>
      <c r="AA14" s="7">
        <v>80</v>
      </c>
    </row>
    <row r="15" spans="1:27" x14ac:dyDescent="0.2">
      <c r="A15" t="s">
        <v>43</v>
      </c>
      <c r="B15">
        <v>14</v>
      </c>
      <c r="C15" t="s">
        <v>53</v>
      </c>
      <c r="D15" t="s">
        <v>42</v>
      </c>
      <c r="E15" t="s">
        <v>31</v>
      </c>
      <c r="F15">
        <v>2</v>
      </c>
      <c r="G15" s="7">
        <v>345</v>
      </c>
      <c r="H15" s="7">
        <v>2.4</v>
      </c>
      <c r="I15" s="7">
        <v>0.4</v>
      </c>
      <c r="J15" s="12">
        <v>0</v>
      </c>
      <c r="K15" s="7">
        <v>83.1</v>
      </c>
      <c r="L15" s="7">
        <v>6.7</v>
      </c>
      <c r="M15" s="7">
        <v>1.1000000000000001</v>
      </c>
      <c r="N15" s="8">
        <v>0</v>
      </c>
      <c r="O15" s="7">
        <v>1</v>
      </c>
      <c r="P15" s="7">
        <v>0.3</v>
      </c>
      <c r="Q15" s="7">
        <v>0.2</v>
      </c>
      <c r="R15" s="7">
        <v>0.1</v>
      </c>
      <c r="S15" s="7">
        <v>0.2</v>
      </c>
      <c r="T15" s="7">
        <v>18</v>
      </c>
      <c r="U15" s="7">
        <v>0.4</v>
      </c>
      <c r="V15" s="7">
        <v>1.5</v>
      </c>
      <c r="W15" s="7">
        <v>95</v>
      </c>
      <c r="X15" s="7">
        <v>55</v>
      </c>
      <c r="Y15" s="7">
        <v>6</v>
      </c>
      <c r="Z15" s="7">
        <v>1.2</v>
      </c>
      <c r="AA15" s="7">
        <v>100</v>
      </c>
    </row>
    <row r="16" spans="1:27" x14ac:dyDescent="0.2">
      <c r="A16" t="s">
        <v>54</v>
      </c>
      <c r="B16">
        <v>15</v>
      </c>
      <c r="C16" t="s">
        <v>55</v>
      </c>
      <c r="D16" t="s">
        <v>42</v>
      </c>
      <c r="E16" t="s">
        <v>31</v>
      </c>
      <c r="F16">
        <v>1</v>
      </c>
      <c r="G16" s="7">
        <v>151.85714285714289</v>
      </c>
      <c r="H16" s="7">
        <v>1.214285714285714</v>
      </c>
      <c r="I16" s="7">
        <v>0.44285714285714289</v>
      </c>
      <c r="J16" s="12">
        <v>0</v>
      </c>
      <c r="K16" s="7">
        <v>35.6</v>
      </c>
      <c r="L16" s="7">
        <v>2.7749999999999999</v>
      </c>
      <c r="M16" s="7">
        <v>0.69285714285714284</v>
      </c>
      <c r="N16" s="7">
        <v>0</v>
      </c>
      <c r="O16" s="7">
        <v>1.0714285714285721</v>
      </c>
      <c r="P16" s="7">
        <v>0.1492857142857143</v>
      </c>
      <c r="Q16" s="7">
        <v>2.6666666666666661E-2</v>
      </c>
      <c r="R16" s="7">
        <v>0.81666666666666665</v>
      </c>
      <c r="S16" s="7">
        <v>2.6428571428571428</v>
      </c>
      <c r="T16" s="7">
        <v>25.5</v>
      </c>
      <c r="U16" s="7">
        <v>0.30833333333333329</v>
      </c>
      <c r="V16" s="7">
        <v>0.9214285714285716</v>
      </c>
      <c r="W16" s="7">
        <v>36.357142857142847</v>
      </c>
      <c r="X16" s="7">
        <v>400.42500000000001</v>
      </c>
      <c r="Y16" s="7">
        <v>27.5</v>
      </c>
      <c r="Z16" s="7">
        <v>0.34166666666666667</v>
      </c>
      <c r="AA16" s="7">
        <v>87.357142857142861</v>
      </c>
    </row>
    <row r="17" spans="1:27" x14ac:dyDescent="0.2">
      <c r="B17">
        <v>16</v>
      </c>
      <c r="C17" t="s">
        <v>56</v>
      </c>
      <c r="D17" t="s">
        <v>56</v>
      </c>
      <c r="E17" t="s">
        <v>28</v>
      </c>
      <c r="F17">
        <v>0</v>
      </c>
      <c r="G17" s="7"/>
      <c r="H17" s="7"/>
      <c r="I17" s="7"/>
      <c r="J17" s="7"/>
      <c r="K17" s="7"/>
      <c r="L17" s="7"/>
      <c r="M17" s="7"/>
      <c r="N17" s="7"/>
      <c r="O17" s="7"/>
      <c r="P17" s="7"/>
      <c r="Q17" s="7"/>
      <c r="R17" s="7"/>
      <c r="S17" s="7"/>
      <c r="T17" s="7"/>
      <c r="U17" s="7"/>
      <c r="V17" s="7"/>
      <c r="W17" s="7"/>
      <c r="X17" s="7"/>
      <c r="Y17" s="7"/>
      <c r="Z17" s="7"/>
      <c r="AA17" s="7"/>
    </row>
    <row r="18" spans="1:27" x14ac:dyDescent="0.2">
      <c r="A18" t="s">
        <v>57</v>
      </c>
      <c r="B18">
        <v>17</v>
      </c>
      <c r="C18" t="s">
        <v>58</v>
      </c>
      <c r="D18" t="s">
        <v>56</v>
      </c>
      <c r="E18" t="s">
        <v>59</v>
      </c>
      <c r="F18">
        <v>0</v>
      </c>
      <c r="G18" s="7">
        <v>100</v>
      </c>
      <c r="H18" s="7">
        <v>19.5</v>
      </c>
      <c r="I18" s="7">
        <v>1.5</v>
      </c>
      <c r="J18" s="7">
        <v>0.26300000000000001</v>
      </c>
      <c r="K18" s="7">
        <v>0.1</v>
      </c>
      <c r="L18" s="7">
        <v>0</v>
      </c>
      <c r="M18" s="7">
        <v>1.5</v>
      </c>
      <c r="N18" s="7">
        <v>7</v>
      </c>
      <c r="O18" s="7">
        <v>0</v>
      </c>
      <c r="P18" s="7">
        <v>0.11</v>
      </c>
      <c r="Q18" s="7">
        <v>70</v>
      </c>
      <c r="R18" s="7">
        <v>8</v>
      </c>
      <c r="S18" s="7">
        <v>0</v>
      </c>
      <c r="T18" s="7">
        <v>51</v>
      </c>
      <c r="U18" s="7">
        <v>7.0999999999999994E-2</v>
      </c>
      <c r="V18" s="7">
        <v>0.5</v>
      </c>
      <c r="W18" s="7">
        <v>290</v>
      </c>
      <c r="X18" s="7">
        <v>510</v>
      </c>
      <c r="Y18" s="7">
        <v>48</v>
      </c>
      <c r="Z18" s="7">
        <v>1.39</v>
      </c>
      <c r="AA18" s="7">
        <v>53.05</v>
      </c>
    </row>
    <row r="19" spans="1:27" x14ac:dyDescent="0.2">
      <c r="A19" t="s">
        <v>60</v>
      </c>
      <c r="B19">
        <v>18</v>
      </c>
      <c r="C19" t="s">
        <v>61</v>
      </c>
      <c r="D19" t="s">
        <v>56</v>
      </c>
      <c r="E19" t="s">
        <v>59</v>
      </c>
      <c r="F19">
        <v>0</v>
      </c>
      <c r="G19" s="7">
        <v>122.217</v>
      </c>
      <c r="H19" s="7">
        <v>19.266666666666669</v>
      </c>
      <c r="I19" s="7">
        <v>1.5083333333333331</v>
      </c>
      <c r="J19" s="7">
        <v>0.28592566666666669</v>
      </c>
      <c r="K19" s="7">
        <v>0.1156666666666667</v>
      </c>
      <c r="L19" s="7">
        <v>0</v>
      </c>
      <c r="M19" s="7">
        <v>1.196666666666667</v>
      </c>
      <c r="N19" s="7">
        <v>25.733333333333331</v>
      </c>
      <c r="O19" s="7">
        <v>0</v>
      </c>
      <c r="P19" s="7">
        <v>9.5600000000000004E-2</v>
      </c>
      <c r="Q19" s="7">
        <v>97.833333333333314</v>
      </c>
      <c r="R19" s="7">
        <v>12.44166666666667</v>
      </c>
      <c r="S19" s="7">
        <v>0.7466666666666667</v>
      </c>
      <c r="T19" s="7">
        <v>19.29666666666667</v>
      </c>
      <c r="U19" s="7">
        <v>8.008333333333334E-2</v>
      </c>
      <c r="V19" s="7">
        <v>1.2290000000000001</v>
      </c>
      <c r="W19" s="7">
        <v>261.66666666666669</v>
      </c>
      <c r="X19" s="7">
        <v>399</v>
      </c>
      <c r="Y19" s="7">
        <v>55.366666666666667</v>
      </c>
      <c r="Z19" s="7">
        <v>1.601666666666667</v>
      </c>
      <c r="AA19" s="7">
        <v>51.7067264573991</v>
      </c>
    </row>
    <row r="20" spans="1:27" x14ac:dyDescent="0.2">
      <c r="A20" t="s">
        <v>62</v>
      </c>
      <c r="B20">
        <v>19</v>
      </c>
      <c r="C20" t="s">
        <v>63</v>
      </c>
      <c r="D20" t="s">
        <v>56</v>
      </c>
      <c r="E20" t="s">
        <v>59</v>
      </c>
      <c r="F20">
        <v>0</v>
      </c>
      <c r="G20" s="7">
        <v>120</v>
      </c>
      <c r="H20" s="7">
        <v>19.600000000000001</v>
      </c>
      <c r="I20" s="7">
        <v>4.5999999999999996</v>
      </c>
      <c r="J20" s="7">
        <v>0.89371500000000004</v>
      </c>
      <c r="K20" s="7">
        <v>0</v>
      </c>
      <c r="L20" s="7">
        <v>0</v>
      </c>
      <c r="M20" s="7">
        <v>1.5</v>
      </c>
      <c r="N20" s="7">
        <v>12</v>
      </c>
      <c r="O20" s="7">
        <v>0</v>
      </c>
      <c r="P20" s="7">
        <v>0.08</v>
      </c>
      <c r="Q20" s="7">
        <v>90</v>
      </c>
      <c r="R20" s="7">
        <v>12</v>
      </c>
      <c r="S20" s="7">
        <v>0</v>
      </c>
      <c r="T20" s="7">
        <v>18.350000000000001</v>
      </c>
      <c r="U20" s="7">
        <v>3.1300000000000001E-2</v>
      </c>
      <c r="V20" s="7">
        <v>0.65</v>
      </c>
      <c r="W20" s="7">
        <v>231.6</v>
      </c>
      <c r="X20" s="7">
        <v>373.5</v>
      </c>
      <c r="Y20" s="7">
        <v>51.6</v>
      </c>
      <c r="Z20" s="7">
        <v>0.78</v>
      </c>
      <c r="AA20" s="7">
        <v>51.7067264573991</v>
      </c>
    </row>
    <row r="21" spans="1:27" x14ac:dyDescent="0.2">
      <c r="A21" t="s">
        <v>64</v>
      </c>
      <c r="B21">
        <v>20</v>
      </c>
      <c r="C21" t="s">
        <v>65</v>
      </c>
      <c r="D21" t="s">
        <v>56</v>
      </c>
      <c r="E21" t="s">
        <v>59</v>
      </c>
      <c r="F21">
        <v>0</v>
      </c>
      <c r="G21" s="7">
        <v>124.5</v>
      </c>
      <c r="H21" s="7">
        <v>19.23</v>
      </c>
      <c r="I21" s="7">
        <v>4.66</v>
      </c>
      <c r="J21" s="7">
        <v>1.02</v>
      </c>
      <c r="K21" s="7">
        <v>0.1</v>
      </c>
      <c r="L21" s="7">
        <v>0</v>
      </c>
      <c r="M21" s="7">
        <v>1.42</v>
      </c>
      <c r="N21" s="7">
        <v>7</v>
      </c>
      <c r="O21" s="7">
        <v>0</v>
      </c>
      <c r="P21" s="7">
        <v>0.13</v>
      </c>
      <c r="Q21" s="7">
        <v>160</v>
      </c>
      <c r="R21" s="7">
        <v>7.8</v>
      </c>
      <c r="S21" s="7">
        <v>0.5</v>
      </c>
      <c r="T21" s="7">
        <v>37</v>
      </c>
      <c r="U21" s="7">
        <v>0.105</v>
      </c>
      <c r="V21" s="7">
        <v>1.1000000000000001</v>
      </c>
      <c r="W21" s="7">
        <v>249.93195</v>
      </c>
      <c r="X21" s="7">
        <v>397.5813</v>
      </c>
      <c r="Y21" s="7">
        <v>66</v>
      </c>
      <c r="Z21" s="7">
        <v>1.29</v>
      </c>
      <c r="AA21" s="7">
        <v>51.7067264573991</v>
      </c>
    </row>
    <row r="22" spans="1:27" x14ac:dyDescent="0.2">
      <c r="A22" t="s">
        <v>66</v>
      </c>
      <c r="B22">
        <v>21</v>
      </c>
      <c r="C22" t="s">
        <v>67</v>
      </c>
      <c r="D22" t="s">
        <v>56</v>
      </c>
      <c r="E22" t="s">
        <v>59</v>
      </c>
      <c r="F22">
        <v>0</v>
      </c>
      <c r="G22" s="7">
        <v>83.42</v>
      </c>
      <c r="H22" s="7">
        <v>19.850000000000001</v>
      </c>
      <c r="I22" s="7">
        <v>2.4</v>
      </c>
      <c r="J22" s="7">
        <v>20.112400000000001</v>
      </c>
      <c r="K22" s="7">
        <v>5.6000000000000001E-2</v>
      </c>
      <c r="L22" s="7">
        <v>0</v>
      </c>
      <c r="M22" s="7">
        <v>1.3</v>
      </c>
      <c r="N22" s="7">
        <v>16.5</v>
      </c>
      <c r="O22" s="7">
        <v>0</v>
      </c>
      <c r="P22" s="7">
        <v>0.115</v>
      </c>
      <c r="Q22" s="7">
        <v>135</v>
      </c>
      <c r="R22" s="7">
        <v>14.27</v>
      </c>
      <c r="S22" s="7">
        <v>0.65</v>
      </c>
      <c r="T22" s="7">
        <v>1170.8900000000001</v>
      </c>
      <c r="U22" s="7">
        <v>0.19400000000000001</v>
      </c>
      <c r="V22" s="7">
        <v>3.665</v>
      </c>
      <c r="W22" s="7">
        <v>86.91</v>
      </c>
      <c r="X22" s="7">
        <v>1203.6099999999999</v>
      </c>
      <c r="Y22" s="7">
        <v>70.004999999999995</v>
      </c>
      <c r="Z22" s="7">
        <v>2.3199999999999998</v>
      </c>
      <c r="AA22" s="7">
        <v>51.7067264573991</v>
      </c>
    </row>
    <row r="23" spans="1:27" x14ac:dyDescent="0.2">
      <c r="A23" t="s">
        <v>68</v>
      </c>
      <c r="B23">
        <v>22</v>
      </c>
      <c r="C23" t="s">
        <v>69</v>
      </c>
      <c r="D23" t="s">
        <v>56</v>
      </c>
      <c r="E23" t="s">
        <v>59</v>
      </c>
      <c r="F23">
        <v>0</v>
      </c>
      <c r="G23" s="7">
        <v>87.41</v>
      </c>
      <c r="H23" s="7">
        <v>2.367</v>
      </c>
      <c r="I23" s="7">
        <v>2.0550000000000002</v>
      </c>
      <c r="J23" s="7">
        <v>0.95889999999999997</v>
      </c>
      <c r="K23" s="7">
        <v>0.19850000000000001</v>
      </c>
      <c r="L23" s="7">
        <v>0</v>
      </c>
      <c r="M23" s="7">
        <v>1.31</v>
      </c>
      <c r="N23" s="7">
        <v>24</v>
      </c>
      <c r="O23" s="7">
        <v>0</v>
      </c>
      <c r="P23" s="7">
        <v>0.04</v>
      </c>
      <c r="Q23" s="7">
        <v>150</v>
      </c>
      <c r="R23" s="7">
        <v>11</v>
      </c>
      <c r="S23" s="7">
        <v>0.5</v>
      </c>
      <c r="T23" s="7">
        <v>715.48</v>
      </c>
      <c r="U23" s="7">
        <v>1</v>
      </c>
      <c r="V23" s="7">
        <v>2.8</v>
      </c>
      <c r="W23" s="7">
        <v>312.03500000000003</v>
      </c>
      <c r="X23" s="7">
        <v>2218</v>
      </c>
      <c r="Y23" s="7">
        <v>244</v>
      </c>
      <c r="Z23" s="7">
        <v>12.989000000000001</v>
      </c>
      <c r="AA23" s="7">
        <v>51.7067264573991</v>
      </c>
    </row>
    <row r="24" spans="1:27" x14ac:dyDescent="0.2">
      <c r="A24" t="s">
        <v>70</v>
      </c>
      <c r="B24">
        <v>23</v>
      </c>
      <c r="C24" t="s">
        <v>71</v>
      </c>
      <c r="D24" t="s">
        <v>56</v>
      </c>
      <c r="E24" t="s">
        <v>59</v>
      </c>
      <c r="F24">
        <v>0</v>
      </c>
      <c r="G24" s="7">
        <v>104</v>
      </c>
      <c r="H24" s="7">
        <v>2.0670000000000002</v>
      </c>
      <c r="I24" s="7">
        <v>10.7</v>
      </c>
      <c r="J24" s="7">
        <v>0.39767000000000002</v>
      </c>
      <c r="K24" s="7">
        <v>0.314</v>
      </c>
      <c r="L24" s="7">
        <v>0</v>
      </c>
      <c r="M24" s="7">
        <v>2</v>
      </c>
      <c r="N24" s="7">
        <v>0</v>
      </c>
      <c r="O24" s="7">
        <v>0</v>
      </c>
      <c r="P24" s="7">
        <v>0.09</v>
      </c>
      <c r="Q24" s="7">
        <v>130</v>
      </c>
      <c r="R24" s="7">
        <v>7.69</v>
      </c>
      <c r="S24" s="7">
        <v>0</v>
      </c>
      <c r="T24" s="7">
        <v>19</v>
      </c>
      <c r="U24" s="7">
        <v>8.3000000000000004E-2</v>
      </c>
      <c r="V24" s="7">
        <v>0.4</v>
      </c>
      <c r="W24" s="7">
        <v>350</v>
      </c>
      <c r="X24" s="7">
        <v>347</v>
      </c>
      <c r="Y24" s="7">
        <v>84</v>
      </c>
      <c r="Z24" s="7">
        <v>0.88249999999999995</v>
      </c>
      <c r="AA24" s="7">
        <v>61</v>
      </c>
    </row>
    <row r="25" spans="1:27" x14ac:dyDescent="0.2">
      <c r="A25" t="s">
        <v>72</v>
      </c>
      <c r="B25">
        <v>24</v>
      </c>
      <c r="C25" t="s">
        <v>73</v>
      </c>
      <c r="D25" t="s">
        <v>56</v>
      </c>
      <c r="E25" t="s">
        <v>59</v>
      </c>
      <c r="F25">
        <v>0</v>
      </c>
      <c r="G25" s="7">
        <v>86</v>
      </c>
      <c r="H25" s="7">
        <v>13.9</v>
      </c>
      <c r="I25" s="7">
        <v>5.7</v>
      </c>
      <c r="J25" s="7">
        <v>0.49503000000000003</v>
      </c>
      <c r="K25" s="7">
        <v>0.3</v>
      </c>
      <c r="L25" s="7">
        <v>0</v>
      </c>
      <c r="M25" s="7">
        <v>1.25</v>
      </c>
      <c r="N25" s="7">
        <v>10</v>
      </c>
      <c r="O25" s="7">
        <v>74</v>
      </c>
      <c r="P25" s="7">
        <v>0.08</v>
      </c>
      <c r="Q25" s="7">
        <v>120</v>
      </c>
      <c r="R25" s="7">
        <v>7.42</v>
      </c>
      <c r="S25" s="7">
        <v>1</v>
      </c>
      <c r="T25" s="7">
        <v>29</v>
      </c>
      <c r="U25" s="7">
        <v>0.13</v>
      </c>
      <c r="V25" s="7">
        <v>0.64</v>
      </c>
      <c r="W25" s="7">
        <v>124</v>
      </c>
      <c r="X25" s="7">
        <v>219.5</v>
      </c>
      <c r="Y25" s="7">
        <v>34.6</v>
      </c>
      <c r="Z25" s="7">
        <v>0.51</v>
      </c>
      <c r="AA25" s="7">
        <v>51.7067264573991</v>
      </c>
    </row>
    <row r="26" spans="1:27" x14ac:dyDescent="0.2">
      <c r="A26" t="s">
        <v>74</v>
      </c>
      <c r="B26">
        <v>25</v>
      </c>
      <c r="C26" t="s">
        <v>75</v>
      </c>
      <c r="D26" t="s">
        <v>56</v>
      </c>
      <c r="E26" t="s">
        <v>59</v>
      </c>
      <c r="F26">
        <v>0</v>
      </c>
      <c r="G26" s="7">
        <v>118</v>
      </c>
      <c r="H26" s="7">
        <v>1.671</v>
      </c>
      <c r="I26" s="7">
        <v>4.55</v>
      </c>
      <c r="J26" s="7">
        <v>7.9460000000000003E-2</v>
      </c>
      <c r="K26" s="7">
        <v>0.2</v>
      </c>
      <c r="L26" s="7">
        <v>0</v>
      </c>
      <c r="M26" s="7">
        <v>1.2</v>
      </c>
      <c r="N26" s="7">
        <v>2</v>
      </c>
      <c r="O26" s="7">
        <v>0</v>
      </c>
      <c r="P26" s="7">
        <v>0.51</v>
      </c>
      <c r="Q26" s="7">
        <v>130</v>
      </c>
      <c r="R26" s="7">
        <v>6.77</v>
      </c>
      <c r="S26" s="7">
        <v>0.5</v>
      </c>
      <c r="T26" s="7">
        <v>19</v>
      </c>
      <c r="U26" s="7">
        <v>2.3E-2</v>
      </c>
      <c r="V26" s="7">
        <v>0.5</v>
      </c>
      <c r="W26" s="7">
        <v>350</v>
      </c>
      <c r="X26" s="7">
        <v>347</v>
      </c>
      <c r="Y26" s="7">
        <v>60</v>
      </c>
      <c r="Z26" s="7">
        <v>0.75</v>
      </c>
      <c r="AA26" s="7">
        <v>37</v>
      </c>
    </row>
    <row r="27" spans="1:27" x14ac:dyDescent="0.2">
      <c r="A27" t="s">
        <v>76</v>
      </c>
      <c r="B27">
        <v>26</v>
      </c>
      <c r="C27" t="s">
        <v>77</v>
      </c>
      <c r="D27" t="s">
        <v>56</v>
      </c>
      <c r="E27" t="s">
        <v>59</v>
      </c>
      <c r="F27">
        <v>0</v>
      </c>
      <c r="G27" s="7">
        <v>105</v>
      </c>
      <c r="H27" s="7">
        <v>9.6022499999999997</v>
      </c>
      <c r="I27" s="7">
        <v>3.4824999999999999</v>
      </c>
      <c r="J27" s="7">
        <v>0.47</v>
      </c>
      <c r="K27" s="7">
        <v>7.4999999999999997E-2</v>
      </c>
      <c r="L27" s="7">
        <v>0</v>
      </c>
      <c r="M27" s="7">
        <v>1.885</v>
      </c>
      <c r="N27" s="7">
        <v>5</v>
      </c>
      <c r="O27" s="7">
        <v>0</v>
      </c>
      <c r="P27" s="7">
        <v>0.12</v>
      </c>
      <c r="Q27" s="7">
        <v>95</v>
      </c>
      <c r="R27" s="7">
        <v>5.95</v>
      </c>
      <c r="S27" s="7">
        <v>0.5</v>
      </c>
      <c r="T27" s="7">
        <v>28.4175</v>
      </c>
      <c r="U27" s="7">
        <v>7.2899999999999993E-2</v>
      </c>
      <c r="V27" s="7">
        <v>0.91</v>
      </c>
      <c r="W27" s="7">
        <v>227.465</v>
      </c>
      <c r="X27" s="7">
        <v>342.58499999999998</v>
      </c>
      <c r="Y27" s="7">
        <v>60.625</v>
      </c>
      <c r="Z27" s="7">
        <v>1.4397500000000001</v>
      </c>
      <c r="AA27" s="7">
        <v>45.5</v>
      </c>
    </row>
    <row r="28" spans="1:27" x14ac:dyDescent="0.2">
      <c r="A28" t="s">
        <v>78</v>
      </c>
      <c r="B28">
        <v>27</v>
      </c>
      <c r="C28" t="s">
        <v>79</v>
      </c>
      <c r="D28" t="s">
        <v>56</v>
      </c>
      <c r="E28" t="s">
        <v>59</v>
      </c>
      <c r="F28">
        <v>0</v>
      </c>
      <c r="G28" s="7">
        <v>103</v>
      </c>
      <c r="H28" s="7">
        <v>15.8</v>
      </c>
      <c r="I28" s="7">
        <v>3.24</v>
      </c>
      <c r="J28" s="7">
        <v>0.41</v>
      </c>
      <c r="K28" s="7">
        <v>0</v>
      </c>
      <c r="L28" s="7">
        <v>0</v>
      </c>
      <c r="M28" s="7">
        <v>1.085</v>
      </c>
      <c r="N28" s="7">
        <v>8.5</v>
      </c>
      <c r="O28" s="7">
        <v>26</v>
      </c>
      <c r="P28" s="7">
        <v>7.0000000000000007E-2</v>
      </c>
      <c r="Q28" s="7">
        <v>70</v>
      </c>
      <c r="R28" s="7">
        <v>6</v>
      </c>
      <c r="S28" s="7">
        <v>0.3</v>
      </c>
      <c r="T28" s="7">
        <v>26.5</v>
      </c>
      <c r="U28" s="7">
        <v>0.1</v>
      </c>
      <c r="V28" s="7">
        <v>1.2</v>
      </c>
      <c r="W28" s="7">
        <v>190</v>
      </c>
      <c r="X28" s="7">
        <v>297</v>
      </c>
      <c r="Y28" s="7">
        <v>82.5</v>
      </c>
      <c r="Z28" s="7">
        <v>0.86</v>
      </c>
      <c r="AA28" s="7">
        <v>53.05</v>
      </c>
    </row>
    <row r="29" spans="1:27" x14ac:dyDescent="0.2">
      <c r="A29" t="s">
        <v>80</v>
      </c>
      <c r="B29">
        <v>28</v>
      </c>
      <c r="C29" t="s">
        <v>81</v>
      </c>
      <c r="D29" t="s">
        <v>56</v>
      </c>
      <c r="E29" t="s">
        <v>59</v>
      </c>
      <c r="F29">
        <v>0</v>
      </c>
      <c r="G29" s="7">
        <v>106.98</v>
      </c>
      <c r="H29" s="7">
        <v>11.0815</v>
      </c>
      <c r="I29" s="7">
        <v>1.74</v>
      </c>
      <c r="J29" s="7">
        <v>10.657439999999999</v>
      </c>
      <c r="K29" s="7">
        <v>4.4999999999999998E-2</v>
      </c>
      <c r="L29" s="7">
        <v>0</v>
      </c>
      <c r="M29" s="7">
        <v>1.38</v>
      </c>
      <c r="N29" s="7">
        <v>9.5</v>
      </c>
      <c r="O29" s="7">
        <v>0</v>
      </c>
      <c r="P29" s="7">
        <v>0.11</v>
      </c>
      <c r="Q29" s="7">
        <v>130</v>
      </c>
      <c r="R29" s="7">
        <v>8</v>
      </c>
      <c r="S29" s="7">
        <v>1</v>
      </c>
      <c r="T29" s="7">
        <v>721.1</v>
      </c>
      <c r="U29" s="7">
        <v>8.0500000000000002E-2</v>
      </c>
      <c r="V29" s="7">
        <v>0.78</v>
      </c>
      <c r="W29" s="7">
        <v>224.83</v>
      </c>
      <c r="X29" s="7">
        <v>350</v>
      </c>
      <c r="Y29" s="7">
        <v>37</v>
      </c>
      <c r="Z29" s="7">
        <v>1.2050000000000001</v>
      </c>
      <c r="AA29" s="7">
        <v>53.05</v>
      </c>
    </row>
    <row r="30" spans="1:27" x14ac:dyDescent="0.2">
      <c r="A30" t="s">
        <v>82</v>
      </c>
      <c r="B30">
        <v>29</v>
      </c>
      <c r="C30" t="s">
        <v>83</v>
      </c>
      <c r="D30" t="s">
        <v>56</v>
      </c>
      <c r="E30" t="s">
        <v>59</v>
      </c>
      <c r="F30">
        <v>0</v>
      </c>
      <c r="G30" s="7">
        <v>97</v>
      </c>
      <c r="H30" s="7">
        <v>11.041</v>
      </c>
      <c r="I30" s="7">
        <v>1.2849999999999999</v>
      </c>
      <c r="J30" s="7">
        <v>0.1055</v>
      </c>
      <c r="K30" s="7">
        <v>0.20549999999999999</v>
      </c>
      <c r="L30" s="7">
        <v>0</v>
      </c>
      <c r="M30" s="7">
        <v>1.345</v>
      </c>
      <c r="N30" s="7">
        <v>6</v>
      </c>
      <c r="O30" s="7">
        <v>0</v>
      </c>
      <c r="P30" s="7">
        <v>0.05</v>
      </c>
      <c r="Q30" s="7">
        <v>100</v>
      </c>
      <c r="R30" s="7">
        <v>7.42</v>
      </c>
      <c r="S30" s="7">
        <v>1</v>
      </c>
      <c r="T30" s="7">
        <v>45.305999999999997</v>
      </c>
      <c r="U30" s="7">
        <v>6.6500000000000004E-2</v>
      </c>
      <c r="V30" s="7">
        <v>0.91200000000000003</v>
      </c>
      <c r="W30" s="7">
        <v>174</v>
      </c>
      <c r="X30" s="7">
        <v>381.69920000000002</v>
      </c>
      <c r="Y30" s="7">
        <v>72.077799999999996</v>
      </c>
      <c r="Z30" s="7">
        <v>1.07</v>
      </c>
      <c r="AA30" s="7">
        <v>51.7067264573991</v>
      </c>
    </row>
    <row r="31" spans="1:27" x14ac:dyDescent="0.2">
      <c r="A31" t="s">
        <v>84</v>
      </c>
      <c r="B31">
        <v>30</v>
      </c>
      <c r="C31" t="s">
        <v>85</v>
      </c>
      <c r="D31" t="s">
        <v>56</v>
      </c>
      <c r="E31" t="s">
        <v>59</v>
      </c>
      <c r="F31">
        <v>0</v>
      </c>
      <c r="G31" s="7">
        <v>162</v>
      </c>
      <c r="H31" s="7">
        <v>15.8</v>
      </c>
      <c r="I31" s="7">
        <v>1.66</v>
      </c>
      <c r="J31" s="7">
        <v>7.0000000000000007E-2</v>
      </c>
      <c r="K31" s="7">
        <v>0</v>
      </c>
      <c r="L31" s="7">
        <v>0</v>
      </c>
      <c r="M31" s="7">
        <v>1</v>
      </c>
      <c r="N31" s="7">
        <v>5</v>
      </c>
      <c r="O31" s="7">
        <v>0</v>
      </c>
      <c r="P31" s="7">
        <v>0.15</v>
      </c>
      <c r="Q31" s="7">
        <v>60</v>
      </c>
      <c r="R31" s="7">
        <v>6</v>
      </c>
      <c r="S31" s="7">
        <v>0.3</v>
      </c>
      <c r="T31" s="7">
        <v>14</v>
      </c>
      <c r="U31" s="7">
        <v>7.0000000000000007E-2</v>
      </c>
      <c r="V31" s="7">
        <v>0.1</v>
      </c>
      <c r="W31" s="7">
        <v>130</v>
      </c>
      <c r="X31" s="7">
        <v>169</v>
      </c>
      <c r="Y31" s="7">
        <v>46</v>
      </c>
      <c r="Z31" s="7">
        <v>1.85</v>
      </c>
      <c r="AA31" s="7">
        <v>53.05</v>
      </c>
    </row>
    <row r="32" spans="1:27" x14ac:dyDescent="0.2">
      <c r="A32" t="s">
        <v>86</v>
      </c>
      <c r="B32">
        <v>31</v>
      </c>
      <c r="C32" t="s">
        <v>87</v>
      </c>
      <c r="D32" t="s">
        <v>56</v>
      </c>
      <c r="E32" t="s">
        <v>59</v>
      </c>
      <c r="F32">
        <v>0</v>
      </c>
      <c r="G32" s="7">
        <v>151.4</v>
      </c>
      <c r="H32" s="7">
        <v>18.100000000000001</v>
      </c>
      <c r="I32" s="7">
        <v>5.8</v>
      </c>
      <c r="J32" s="7">
        <v>9.39</v>
      </c>
      <c r="K32" s="7">
        <v>0</v>
      </c>
      <c r="L32" s="7">
        <v>0</v>
      </c>
      <c r="M32" s="7">
        <v>3.1</v>
      </c>
      <c r="N32" s="7">
        <v>10</v>
      </c>
      <c r="O32" s="7">
        <v>0</v>
      </c>
      <c r="P32" s="7">
        <v>0.09</v>
      </c>
      <c r="Q32" s="7">
        <v>120</v>
      </c>
      <c r="R32" s="7">
        <v>7.42</v>
      </c>
      <c r="S32" s="7">
        <v>1</v>
      </c>
      <c r="T32" s="7">
        <v>60.81</v>
      </c>
      <c r="U32" s="7">
        <v>0.15</v>
      </c>
      <c r="V32" s="7">
        <v>2.4</v>
      </c>
      <c r="W32" s="7">
        <v>269.52</v>
      </c>
      <c r="X32" s="7">
        <v>97.84</v>
      </c>
      <c r="Y32" s="7">
        <v>75.099999999999994</v>
      </c>
      <c r="Z32" s="7">
        <v>0.7</v>
      </c>
      <c r="AA32" s="7">
        <v>51.7067264573991</v>
      </c>
    </row>
    <row r="33" spans="1:27" x14ac:dyDescent="0.2">
      <c r="A33" t="s">
        <v>88</v>
      </c>
      <c r="B33">
        <v>32</v>
      </c>
      <c r="C33" t="s">
        <v>89</v>
      </c>
      <c r="D33" t="s">
        <v>56</v>
      </c>
      <c r="E33" t="s">
        <v>59</v>
      </c>
      <c r="F33">
        <v>0</v>
      </c>
      <c r="G33" s="7">
        <v>112.5</v>
      </c>
      <c r="H33" s="7">
        <v>13.9</v>
      </c>
      <c r="I33" s="7">
        <v>7.1</v>
      </c>
      <c r="J33" s="7">
        <v>0.49503000000000003</v>
      </c>
      <c r="K33" s="7">
        <v>0.15</v>
      </c>
      <c r="L33" s="7">
        <v>0</v>
      </c>
      <c r="M33" s="7">
        <v>1.2</v>
      </c>
      <c r="N33" s="7">
        <v>109.5</v>
      </c>
      <c r="O33" s="7">
        <v>74</v>
      </c>
      <c r="P33" s="7">
        <v>5.5E-2</v>
      </c>
      <c r="Q33" s="7">
        <v>150</v>
      </c>
      <c r="R33" s="7">
        <v>7.42</v>
      </c>
      <c r="S33" s="7">
        <v>1</v>
      </c>
      <c r="T33" s="7">
        <v>71</v>
      </c>
      <c r="U33" s="7">
        <v>8.5000000000000006E-2</v>
      </c>
      <c r="V33" s="7">
        <v>0.65</v>
      </c>
      <c r="W33" s="7">
        <v>124</v>
      </c>
      <c r="X33" s="7">
        <v>219.5</v>
      </c>
      <c r="Y33" s="7">
        <v>69</v>
      </c>
      <c r="Z33" s="7">
        <v>0.68</v>
      </c>
      <c r="AA33" s="7">
        <v>51.7067264573991</v>
      </c>
    </row>
    <row r="34" spans="1:27" x14ac:dyDescent="0.2">
      <c r="A34" t="s">
        <v>90</v>
      </c>
      <c r="B34">
        <v>33</v>
      </c>
      <c r="C34" t="s">
        <v>91</v>
      </c>
      <c r="D34" t="s">
        <v>56</v>
      </c>
      <c r="E34" t="s">
        <v>59</v>
      </c>
      <c r="F34">
        <v>0</v>
      </c>
      <c r="G34" s="7">
        <v>104</v>
      </c>
      <c r="H34" s="7">
        <v>18.100000000000001</v>
      </c>
      <c r="I34" s="7">
        <v>2.27</v>
      </c>
      <c r="J34" s="7">
        <v>0.49503000000000003</v>
      </c>
      <c r="K34" s="7">
        <v>0.1</v>
      </c>
      <c r="L34" s="7">
        <v>0</v>
      </c>
      <c r="M34" s="7">
        <v>1.3</v>
      </c>
      <c r="N34" s="7">
        <v>10</v>
      </c>
      <c r="O34" s="7">
        <v>0</v>
      </c>
      <c r="P34" s="7">
        <v>0.09</v>
      </c>
      <c r="Q34" s="7">
        <v>120</v>
      </c>
      <c r="R34" s="7">
        <v>7.42</v>
      </c>
      <c r="S34" s="7">
        <v>1</v>
      </c>
      <c r="T34" s="7">
        <v>37.89</v>
      </c>
      <c r="U34" s="7">
        <v>0.08</v>
      </c>
      <c r="V34" s="7">
        <v>1</v>
      </c>
      <c r="W34" s="7">
        <v>225</v>
      </c>
      <c r="X34" s="7">
        <v>370</v>
      </c>
      <c r="Y34" s="7">
        <v>75.099999999999994</v>
      </c>
      <c r="Z34" s="7">
        <v>1</v>
      </c>
      <c r="AA34" s="7">
        <v>51.7067264573991</v>
      </c>
    </row>
    <row r="35" spans="1:27" x14ac:dyDescent="0.2">
      <c r="A35" t="s">
        <v>92</v>
      </c>
      <c r="B35">
        <v>34</v>
      </c>
      <c r="C35" t="s">
        <v>93</v>
      </c>
      <c r="D35" t="s">
        <v>56</v>
      </c>
      <c r="E35" t="s">
        <v>59</v>
      </c>
      <c r="F35">
        <v>0</v>
      </c>
      <c r="G35" s="7">
        <v>87</v>
      </c>
      <c r="H35" s="7">
        <v>19.8</v>
      </c>
      <c r="I35" s="7">
        <v>0.9</v>
      </c>
      <c r="J35" s="7">
        <v>0.17</v>
      </c>
      <c r="K35" s="7">
        <v>0.4</v>
      </c>
      <c r="L35" s="7">
        <v>0</v>
      </c>
      <c r="M35" s="7">
        <v>1.8</v>
      </c>
      <c r="N35" s="7">
        <v>7</v>
      </c>
      <c r="O35" s="7">
        <v>7</v>
      </c>
      <c r="P35" s="7">
        <v>0.04</v>
      </c>
      <c r="Q35" s="7">
        <v>70</v>
      </c>
      <c r="R35" s="7">
        <v>7.3</v>
      </c>
      <c r="S35" s="7">
        <v>0.9</v>
      </c>
      <c r="T35" s="7">
        <v>74</v>
      </c>
      <c r="U35" s="7">
        <v>0.67</v>
      </c>
      <c r="V35" s="7">
        <v>1.2</v>
      </c>
      <c r="W35" s="7">
        <v>229</v>
      </c>
      <c r="X35" s="7">
        <v>297.5</v>
      </c>
      <c r="Y35" s="7">
        <v>268</v>
      </c>
      <c r="Z35" s="7">
        <v>2.0099999999999998</v>
      </c>
      <c r="AA35" s="7">
        <v>56.999999999999993</v>
      </c>
    </row>
    <row r="36" spans="1:27" x14ac:dyDescent="0.2">
      <c r="A36" t="s">
        <v>94</v>
      </c>
      <c r="B36">
        <v>35</v>
      </c>
      <c r="C36" t="s">
        <v>95</v>
      </c>
      <c r="D36" t="s">
        <v>56</v>
      </c>
      <c r="E36" t="s">
        <v>59</v>
      </c>
      <c r="F36">
        <v>0</v>
      </c>
      <c r="G36" s="7">
        <v>83</v>
      </c>
      <c r="H36" s="7">
        <v>14.41</v>
      </c>
      <c r="I36" s="7">
        <v>0.92</v>
      </c>
      <c r="J36" s="7">
        <v>0.37</v>
      </c>
      <c r="K36" s="7">
        <v>0.75900000000000001</v>
      </c>
      <c r="L36" s="7">
        <v>0</v>
      </c>
      <c r="M36" s="7">
        <v>1.4</v>
      </c>
      <c r="N36" s="7">
        <v>15</v>
      </c>
      <c r="O36" s="7">
        <v>0</v>
      </c>
      <c r="P36" s="7">
        <v>0.05</v>
      </c>
      <c r="Q36" s="7">
        <v>90</v>
      </c>
      <c r="R36" s="7">
        <v>7.9</v>
      </c>
      <c r="S36" s="7">
        <v>2.0499999999999998</v>
      </c>
      <c r="T36" s="7">
        <v>21</v>
      </c>
      <c r="U36" s="7">
        <v>0.68</v>
      </c>
      <c r="V36" s="7">
        <v>0.9</v>
      </c>
      <c r="W36" s="7">
        <v>235</v>
      </c>
      <c r="X36" s="7">
        <v>300</v>
      </c>
      <c r="Y36" s="7">
        <v>230.8015</v>
      </c>
      <c r="Z36" s="7">
        <v>1.95</v>
      </c>
      <c r="AA36" s="7">
        <v>19.2861878453039</v>
      </c>
    </row>
    <row r="37" spans="1:27" x14ac:dyDescent="0.2">
      <c r="A37" t="s">
        <v>96</v>
      </c>
      <c r="B37">
        <v>36</v>
      </c>
      <c r="C37" t="s">
        <v>97</v>
      </c>
      <c r="D37" t="s">
        <v>56</v>
      </c>
      <c r="E37" t="s">
        <v>59</v>
      </c>
      <c r="F37">
        <v>0</v>
      </c>
      <c r="G37" s="7">
        <v>86</v>
      </c>
      <c r="H37" s="7">
        <v>19.8</v>
      </c>
      <c r="I37" s="7">
        <v>0.79500000000000004</v>
      </c>
      <c r="J37" s="7">
        <v>0.245</v>
      </c>
      <c r="K37" s="7">
        <v>0.4</v>
      </c>
      <c r="L37" s="7">
        <v>0</v>
      </c>
      <c r="M37" s="7">
        <v>2.0249999999999999</v>
      </c>
      <c r="N37" s="7">
        <v>58</v>
      </c>
      <c r="O37" s="7">
        <v>7</v>
      </c>
      <c r="P37" s="7">
        <v>0.04</v>
      </c>
      <c r="Q37" s="7">
        <v>120</v>
      </c>
      <c r="R37" s="7">
        <v>7.8</v>
      </c>
      <c r="S37" s="7">
        <v>0.9</v>
      </c>
      <c r="T37" s="7">
        <v>120</v>
      </c>
      <c r="U37" s="7">
        <v>0.6</v>
      </c>
      <c r="V37" s="7">
        <v>0.72</v>
      </c>
      <c r="W37" s="7">
        <v>226</v>
      </c>
      <c r="X37" s="7">
        <v>264</v>
      </c>
      <c r="Y37" s="7">
        <v>293</v>
      </c>
      <c r="Z37" s="7">
        <v>2.375</v>
      </c>
      <c r="AA37" s="7">
        <v>56.999999999999993</v>
      </c>
    </row>
    <row r="38" spans="1:27" x14ac:dyDescent="0.2">
      <c r="A38" t="s">
        <v>98</v>
      </c>
      <c r="B38">
        <v>37</v>
      </c>
      <c r="C38" t="s">
        <v>99</v>
      </c>
      <c r="D38" t="s">
        <v>56</v>
      </c>
      <c r="E38" t="s">
        <v>59</v>
      </c>
      <c r="F38">
        <v>0</v>
      </c>
      <c r="G38" s="7">
        <v>70</v>
      </c>
      <c r="H38" s="7">
        <v>19.600000000000001</v>
      </c>
      <c r="I38" s="7">
        <v>1.28</v>
      </c>
      <c r="J38" s="7">
        <v>0.21</v>
      </c>
      <c r="K38" s="7">
        <v>3.7</v>
      </c>
      <c r="L38" s="7">
        <v>0</v>
      </c>
      <c r="M38" s="7">
        <v>2.2050000000000001</v>
      </c>
      <c r="N38" s="7">
        <v>12</v>
      </c>
      <c r="O38" s="7">
        <v>20.5</v>
      </c>
      <c r="P38" s="7">
        <v>0.04</v>
      </c>
      <c r="Q38" s="7">
        <v>175</v>
      </c>
      <c r="R38" s="7">
        <v>4.3</v>
      </c>
      <c r="S38" s="7">
        <v>2</v>
      </c>
      <c r="T38" s="7">
        <v>74</v>
      </c>
      <c r="U38" s="7">
        <v>0.34200000000000003</v>
      </c>
      <c r="V38" s="7">
        <v>5.0999999999999996</v>
      </c>
      <c r="W38" s="7">
        <v>159</v>
      </c>
      <c r="X38" s="7">
        <v>210</v>
      </c>
      <c r="Y38" s="7">
        <v>384.52775000000003</v>
      </c>
      <c r="Z38" s="7">
        <v>2.0945</v>
      </c>
      <c r="AA38" s="7">
        <v>19.11</v>
      </c>
    </row>
    <row r="39" spans="1:27" x14ac:dyDescent="0.2">
      <c r="A39" t="s">
        <v>100</v>
      </c>
      <c r="B39">
        <v>38</v>
      </c>
      <c r="C39" t="s">
        <v>101</v>
      </c>
      <c r="D39" t="s">
        <v>56</v>
      </c>
      <c r="E39" t="s">
        <v>59</v>
      </c>
      <c r="F39">
        <v>0</v>
      </c>
      <c r="G39" s="7">
        <v>87</v>
      </c>
      <c r="H39" s="7">
        <v>19.8</v>
      </c>
      <c r="I39" s="7">
        <v>0.9</v>
      </c>
      <c r="J39" s="7">
        <v>0.17</v>
      </c>
      <c r="K39" s="7">
        <v>0.4</v>
      </c>
      <c r="L39" s="7">
        <v>0</v>
      </c>
      <c r="M39" s="7">
        <v>1.8</v>
      </c>
      <c r="N39" s="7">
        <v>7</v>
      </c>
      <c r="O39" s="7">
        <v>7</v>
      </c>
      <c r="P39" s="7">
        <v>0.04</v>
      </c>
      <c r="Q39" s="7">
        <v>70</v>
      </c>
      <c r="R39" s="7">
        <v>7.3</v>
      </c>
      <c r="S39" s="7">
        <v>0.9</v>
      </c>
      <c r="T39" s="7">
        <v>76</v>
      </c>
      <c r="U39" s="7">
        <v>0.67</v>
      </c>
      <c r="V39" s="7">
        <v>1.2</v>
      </c>
      <c r="W39" s="7">
        <v>233.25</v>
      </c>
      <c r="X39" s="7">
        <v>299.5</v>
      </c>
      <c r="Y39" s="7">
        <v>269</v>
      </c>
      <c r="Z39" s="7">
        <v>2.0049999999999999</v>
      </c>
      <c r="AA39" s="7">
        <v>56.222222222222193</v>
      </c>
    </row>
    <row r="40" spans="1:27" x14ac:dyDescent="0.2">
      <c r="A40" t="s">
        <v>102</v>
      </c>
      <c r="B40">
        <v>39</v>
      </c>
      <c r="C40" t="s">
        <v>103</v>
      </c>
      <c r="D40" t="s">
        <v>56</v>
      </c>
      <c r="E40" t="s">
        <v>59</v>
      </c>
      <c r="F40">
        <v>0</v>
      </c>
      <c r="G40" s="7">
        <v>83.42</v>
      </c>
      <c r="H40" s="7">
        <v>19.850000000000001</v>
      </c>
      <c r="I40" s="7">
        <v>2.4</v>
      </c>
      <c r="J40" s="7">
        <v>20.112400000000001</v>
      </c>
      <c r="K40" s="7">
        <v>5.6000000000000001E-2</v>
      </c>
      <c r="L40" s="7">
        <v>0</v>
      </c>
      <c r="M40" s="7">
        <v>1.3</v>
      </c>
      <c r="N40" s="7">
        <v>16.5</v>
      </c>
      <c r="O40" s="7">
        <v>0</v>
      </c>
      <c r="P40" s="7">
        <v>0.115</v>
      </c>
      <c r="Q40" s="7">
        <v>135</v>
      </c>
      <c r="R40" s="7">
        <v>14.27</v>
      </c>
      <c r="S40" s="7">
        <v>0.65</v>
      </c>
      <c r="T40" s="7">
        <v>1170.8900000000001</v>
      </c>
      <c r="U40" s="7">
        <v>0.19400000000000001</v>
      </c>
      <c r="V40" s="7">
        <v>3.665</v>
      </c>
      <c r="W40" s="7">
        <v>86.91</v>
      </c>
      <c r="X40" s="7">
        <v>1203.6099999999999</v>
      </c>
      <c r="Y40" s="7">
        <v>70.004999999999995</v>
      </c>
      <c r="Z40" s="7">
        <v>2.3199999999999998</v>
      </c>
      <c r="AA40" s="7">
        <v>51.7067264573991</v>
      </c>
    </row>
    <row r="41" spans="1:27" x14ac:dyDescent="0.2">
      <c r="A41" t="s">
        <v>104</v>
      </c>
      <c r="B41">
        <v>40</v>
      </c>
      <c r="C41" t="s">
        <v>105</v>
      </c>
      <c r="D41" t="s">
        <v>56</v>
      </c>
      <c r="E41" t="s">
        <v>59</v>
      </c>
      <c r="F41">
        <v>0</v>
      </c>
      <c r="G41" s="7">
        <v>120</v>
      </c>
      <c r="H41" s="7">
        <v>19.600000000000001</v>
      </c>
      <c r="I41" s="7">
        <v>4.5999999999999996</v>
      </c>
      <c r="J41" s="7">
        <v>0.89371500000000004</v>
      </c>
      <c r="K41" s="7">
        <v>0</v>
      </c>
      <c r="L41" s="7">
        <v>0</v>
      </c>
      <c r="M41" s="7">
        <v>1.5</v>
      </c>
      <c r="N41" s="7">
        <v>12</v>
      </c>
      <c r="O41" s="7">
        <v>0</v>
      </c>
      <c r="P41" s="7">
        <v>0.08</v>
      </c>
      <c r="Q41" s="7">
        <v>90</v>
      </c>
      <c r="R41" s="7">
        <v>12</v>
      </c>
      <c r="S41" s="7">
        <v>0</v>
      </c>
      <c r="T41" s="7">
        <v>18.350000000000001</v>
      </c>
      <c r="U41" s="7">
        <v>3.1300000000000001E-2</v>
      </c>
      <c r="V41" s="7">
        <v>0.65</v>
      </c>
      <c r="W41" s="7">
        <v>231.6</v>
      </c>
      <c r="X41" s="7">
        <v>373.5</v>
      </c>
      <c r="Y41" s="7">
        <v>51.6</v>
      </c>
      <c r="Z41" s="7">
        <v>0.78</v>
      </c>
      <c r="AA41" s="7">
        <v>51.7067264573991</v>
      </c>
    </row>
    <row r="42" spans="1:27" x14ac:dyDescent="0.2">
      <c r="A42" t="s">
        <v>106</v>
      </c>
      <c r="B42">
        <v>41</v>
      </c>
      <c r="C42" t="s">
        <v>107</v>
      </c>
      <c r="D42" t="s">
        <v>56</v>
      </c>
      <c r="E42" t="s">
        <v>59</v>
      </c>
      <c r="F42">
        <v>0</v>
      </c>
      <c r="G42" s="7">
        <v>146</v>
      </c>
      <c r="H42" s="7">
        <v>19.850000000000001</v>
      </c>
      <c r="I42" s="7">
        <v>1.78</v>
      </c>
      <c r="J42" s="7">
        <v>20.112400000000001</v>
      </c>
      <c r="K42" s="7">
        <v>0.112</v>
      </c>
      <c r="L42" s="7">
        <v>0</v>
      </c>
      <c r="M42" s="7">
        <v>1.35</v>
      </c>
      <c r="N42" s="7">
        <v>16.5</v>
      </c>
      <c r="O42" s="7">
        <v>0</v>
      </c>
      <c r="P42" s="7">
        <v>0.115</v>
      </c>
      <c r="Q42" s="7">
        <v>135</v>
      </c>
      <c r="R42" s="7">
        <v>14.27</v>
      </c>
      <c r="S42" s="7">
        <v>0.65</v>
      </c>
      <c r="T42" s="7">
        <v>17</v>
      </c>
      <c r="U42" s="7">
        <v>0.1</v>
      </c>
      <c r="V42" s="7">
        <v>1.65</v>
      </c>
      <c r="W42" s="7">
        <v>259.5</v>
      </c>
      <c r="X42" s="7">
        <v>403.96985000000001</v>
      </c>
      <c r="Y42" s="7">
        <v>49</v>
      </c>
      <c r="Z42" s="7">
        <v>1.0900000000000001</v>
      </c>
      <c r="AA42" s="7">
        <v>51.7067264573991</v>
      </c>
    </row>
    <row r="43" spans="1:27" x14ac:dyDescent="0.2">
      <c r="A43" t="s">
        <v>108</v>
      </c>
      <c r="B43">
        <v>42</v>
      </c>
      <c r="C43" t="s">
        <v>109</v>
      </c>
      <c r="D43" t="s">
        <v>56</v>
      </c>
      <c r="E43" t="s">
        <v>59</v>
      </c>
      <c r="F43">
        <v>0</v>
      </c>
      <c r="G43" s="7">
        <v>87.41</v>
      </c>
      <c r="H43" s="7">
        <v>2.367</v>
      </c>
      <c r="I43" s="7">
        <v>2.0550000000000002</v>
      </c>
      <c r="J43" s="7">
        <v>0.95889999999999997</v>
      </c>
      <c r="K43" s="7">
        <v>0.19850000000000001</v>
      </c>
      <c r="L43" s="7">
        <v>0</v>
      </c>
      <c r="M43" s="7">
        <v>1.31</v>
      </c>
      <c r="N43" s="7">
        <v>24</v>
      </c>
      <c r="O43" s="7">
        <v>0</v>
      </c>
      <c r="P43" s="7">
        <v>0.04</v>
      </c>
      <c r="Q43" s="7">
        <v>150</v>
      </c>
      <c r="R43" s="7">
        <v>11</v>
      </c>
      <c r="S43" s="7">
        <v>0.5</v>
      </c>
      <c r="T43" s="7">
        <v>715.48</v>
      </c>
      <c r="U43" s="7">
        <v>1</v>
      </c>
      <c r="V43" s="7">
        <v>2.8</v>
      </c>
      <c r="W43" s="7">
        <v>312.03500000000003</v>
      </c>
      <c r="X43" s="7">
        <v>2218</v>
      </c>
      <c r="Y43" s="7">
        <v>244</v>
      </c>
      <c r="Z43" s="7">
        <v>12.989000000000001</v>
      </c>
      <c r="AA43" s="7">
        <v>51.7067264573991</v>
      </c>
    </row>
    <row r="44" spans="1:27" x14ac:dyDescent="0.2">
      <c r="A44" t="s">
        <v>110</v>
      </c>
      <c r="B44">
        <v>43</v>
      </c>
      <c r="C44" t="s">
        <v>111</v>
      </c>
      <c r="D44" t="s">
        <v>56</v>
      </c>
      <c r="E44" t="s">
        <v>59</v>
      </c>
      <c r="F44">
        <v>0</v>
      </c>
      <c r="G44" s="7">
        <v>124.5</v>
      </c>
      <c r="H44" s="7">
        <v>19.23</v>
      </c>
      <c r="I44" s="7">
        <v>4.66</v>
      </c>
      <c r="J44" s="7">
        <v>1.02</v>
      </c>
      <c r="K44" s="7">
        <v>0.1</v>
      </c>
      <c r="L44" s="7">
        <v>0</v>
      </c>
      <c r="M44" s="7">
        <v>1.42</v>
      </c>
      <c r="N44" s="7">
        <v>7</v>
      </c>
      <c r="O44" s="7">
        <v>0</v>
      </c>
      <c r="P44" s="7">
        <v>0.13</v>
      </c>
      <c r="Q44" s="7">
        <v>160</v>
      </c>
      <c r="R44" s="7">
        <v>7.8</v>
      </c>
      <c r="S44" s="7">
        <v>0.5</v>
      </c>
      <c r="T44" s="7">
        <v>37</v>
      </c>
      <c r="U44" s="7">
        <v>0.105</v>
      </c>
      <c r="V44" s="7">
        <v>1.1000000000000001</v>
      </c>
      <c r="W44" s="7">
        <v>249.93195</v>
      </c>
      <c r="X44" s="7">
        <v>397.5813</v>
      </c>
      <c r="Y44" s="7">
        <v>66</v>
      </c>
      <c r="Z44" s="7">
        <v>1.29</v>
      </c>
      <c r="AA44" s="7">
        <v>51.7067264573991</v>
      </c>
    </row>
    <row r="45" spans="1:27" x14ac:dyDescent="0.2">
      <c r="A45" t="s">
        <v>112</v>
      </c>
      <c r="B45">
        <v>44</v>
      </c>
      <c r="C45" t="s">
        <v>113</v>
      </c>
      <c r="D45" t="s">
        <v>56</v>
      </c>
      <c r="E45" t="s">
        <v>59</v>
      </c>
      <c r="F45">
        <v>0</v>
      </c>
      <c r="G45" s="7">
        <v>112.5</v>
      </c>
      <c r="H45" s="7">
        <v>13.9</v>
      </c>
      <c r="I45" s="7">
        <v>7.1</v>
      </c>
      <c r="J45" s="7">
        <v>0.49503000000000003</v>
      </c>
      <c r="K45" s="7">
        <v>0.15</v>
      </c>
      <c r="L45" s="7">
        <v>0</v>
      </c>
      <c r="M45" s="7">
        <v>1.2</v>
      </c>
      <c r="N45" s="7">
        <v>109.5</v>
      </c>
      <c r="O45" s="7">
        <v>74</v>
      </c>
      <c r="P45" s="7">
        <v>5.5E-2</v>
      </c>
      <c r="Q45" s="7">
        <v>150</v>
      </c>
      <c r="R45" s="7">
        <v>7.42</v>
      </c>
      <c r="S45" s="7">
        <v>1</v>
      </c>
      <c r="T45" s="7">
        <v>71</v>
      </c>
      <c r="U45" s="7">
        <v>8.5000000000000006E-2</v>
      </c>
      <c r="V45" s="7">
        <v>0.65</v>
      </c>
      <c r="W45" s="7">
        <v>124</v>
      </c>
      <c r="X45" s="7">
        <v>219.5</v>
      </c>
      <c r="Y45" s="7">
        <v>69</v>
      </c>
      <c r="Z45" s="7">
        <v>0.68</v>
      </c>
      <c r="AA45" s="7">
        <v>51.7067264573991</v>
      </c>
    </row>
    <row r="46" spans="1:27" x14ac:dyDescent="0.2">
      <c r="A46" t="s">
        <v>114</v>
      </c>
      <c r="B46">
        <v>45</v>
      </c>
      <c r="C46" t="s">
        <v>115</v>
      </c>
      <c r="D46" t="s">
        <v>56</v>
      </c>
      <c r="E46" t="s">
        <v>59</v>
      </c>
      <c r="F46">
        <v>0</v>
      </c>
      <c r="G46" s="7">
        <v>104</v>
      </c>
      <c r="H46" s="7">
        <v>2.0670000000000002</v>
      </c>
      <c r="I46" s="7">
        <v>10.7</v>
      </c>
      <c r="J46" s="7">
        <v>0.39767000000000002</v>
      </c>
      <c r="K46" s="7">
        <v>0.314</v>
      </c>
      <c r="L46" s="7">
        <v>0</v>
      </c>
      <c r="M46" s="7">
        <v>2</v>
      </c>
      <c r="N46" s="7">
        <v>0</v>
      </c>
      <c r="O46" s="7">
        <v>0</v>
      </c>
      <c r="P46" s="7">
        <v>0.09</v>
      </c>
      <c r="Q46" s="7">
        <v>130</v>
      </c>
      <c r="R46" s="7">
        <v>7.69</v>
      </c>
      <c r="S46" s="7">
        <v>0</v>
      </c>
      <c r="T46" s="7">
        <v>19</v>
      </c>
      <c r="U46" s="7">
        <v>8.3000000000000004E-2</v>
      </c>
      <c r="V46" s="7">
        <v>0.4</v>
      </c>
      <c r="W46" s="7">
        <v>350</v>
      </c>
      <c r="X46" s="7">
        <v>347</v>
      </c>
      <c r="Y46" s="7">
        <v>84</v>
      </c>
      <c r="Z46" s="7">
        <v>0.88249999999999995</v>
      </c>
      <c r="AA46" s="7">
        <v>61</v>
      </c>
    </row>
    <row r="47" spans="1:27" x14ac:dyDescent="0.2">
      <c r="A47" t="s">
        <v>116</v>
      </c>
      <c r="B47">
        <v>46</v>
      </c>
      <c r="C47" t="s">
        <v>117</v>
      </c>
      <c r="D47" t="s">
        <v>56</v>
      </c>
      <c r="E47" t="s">
        <v>59</v>
      </c>
      <c r="F47">
        <v>0</v>
      </c>
      <c r="G47" s="7">
        <v>86</v>
      </c>
      <c r="H47" s="7">
        <v>13.9</v>
      </c>
      <c r="I47" s="7">
        <v>5.7</v>
      </c>
      <c r="J47" s="7">
        <v>0.49503000000000003</v>
      </c>
      <c r="K47" s="7">
        <v>0.3</v>
      </c>
      <c r="L47" s="7">
        <v>0</v>
      </c>
      <c r="M47" s="7">
        <v>1.25</v>
      </c>
      <c r="N47" s="7">
        <v>10</v>
      </c>
      <c r="O47" s="7">
        <v>74</v>
      </c>
      <c r="P47" s="7">
        <v>0.08</v>
      </c>
      <c r="Q47" s="7">
        <v>120</v>
      </c>
      <c r="R47" s="7">
        <v>7.42</v>
      </c>
      <c r="S47" s="7">
        <v>1</v>
      </c>
      <c r="T47" s="7">
        <v>29</v>
      </c>
      <c r="U47" s="7">
        <v>0.13</v>
      </c>
      <c r="V47" s="7">
        <v>0.64</v>
      </c>
      <c r="W47" s="7">
        <v>124</v>
      </c>
      <c r="X47" s="7">
        <v>219.5</v>
      </c>
      <c r="Y47" s="7">
        <v>34.6</v>
      </c>
      <c r="Z47" s="7">
        <v>0.51</v>
      </c>
      <c r="AA47" s="7">
        <v>51.7067264573991</v>
      </c>
    </row>
    <row r="48" spans="1:27" x14ac:dyDescent="0.2">
      <c r="A48" t="s">
        <v>118</v>
      </c>
      <c r="B48">
        <v>47</v>
      </c>
      <c r="C48" t="s">
        <v>119</v>
      </c>
      <c r="D48" t="s">
        <v>56</v>
      </c>
      <c r="E48" t="s">
        <v>59</v>
      </c>
      <c r="F48">
        <v>0</v>
      </c>
      <c r="G48" s="7">
        <v>104</v>
      </c>
      <c r="H48" s="7">
        <v>18.100000000000001</v>
      </c>
      <c r="I48" s="7">
        <v>2.27</v>
      </c>
      <c r="J48" s="7">
        <v>0.49503000000000003</v>
      </c>
      <c r="K48" s="7">
        <v>0.1</v>
      </c>
      <c r="L48" s="7">
        <v>0</v>
      </c>
      <c r="M48" s="7">
        <v>1.3</v>
      </c>
      <c r="N48" s="7">
        <v>10</v>
      </c>
      <c r="O48" s="7">
        <v>0</v>
      </c>
      <c r="P48" s="7">
        <v>0.09</v>
      </c>
      <c r="Q48" s="7">
        <v>120</v>
      </c>
      <c r="R48" s="7">
        <v>7.42</v>
      </c>
      <c r="S48" s="7">
        <v>1</v>
      </c>
      <c r="T48" s="7">
        <v>37.89</v>
      </c>
      <c r="U48" s="7">
        <v>0.08</v>
      </c>
      <c r="V48" s="7">
        <v>1</v>
      </c>
      <c r="W48" s="7">
        <v>225</v>
      </c>
      <c r="X48" s="7">
        <v>370</v>
      </c>
      <c r="Y48" s="7">
        <v>75.099999999999994</v>
      </c>
      <c r="Z48" s="7">
        <v>1</v>
      </c>
      <c r="AA48" s="7">
        <v>51.7067264573991</v>
      </c>
    </row>
    <row r="49" spans="1:27" x14ac:dyDescent="0.2">
      <c r="A49" t="s">
        <v>120</v>
      </c>
      <c r="B49">
        <v>48</v>
      </c>
      <c r="C49" t="s">
        <v>121</v>
      </c>
      <c r="D49" t="s">
        <v>56</v>
      </c>
      <c r="E49" t="s">
        <v>59</v>
      </c>
      <c r="F49">
        <v>0</v>
      </c>
      <c r="G49" s="7">
        <v>104</v>
      </c>
      <c r="H49" s="7">
        <v>18.100000000000001</v>
      </c>
      <c r="I49" s="7">
        <v>2.27</v>
      </c>
      <c r="J49" s="7">
        <v>0.49503000000000003</v>
      </c>
      <c r="K49" s="7">
        <v>0.1</v>
      </c>
      <c r="L49" s="7">
        <v>0</v>
      </c>
      <c r="M49" s="7">
        <v>1.3</v>
      </c>
      <c r="N49" s="7">
        <v>10</v>
      </c>
      <c r="O49" s="7">
        <v>0</v>
      </c>
      <c r="P49" s="7">
        <v>0.09</v>
      </c>
      <c r="Q49" s="7">
        <v>120</v>
      </c>
      <c r="R49" s="7">
        <v>7.42</v>
      </c>
      <c r="S49" s="7">
        <v>1</v>
      </c>
      <c r="T49" s="7">
        <v>37.89</v>
      </c>
      <c r="U49" s="7">
        <v>0.08</v>
      </c>
      <c r="V49" s="7">
        <v>1</v>
      </c>
      <c r="W49" s="7">
        <v>225</v>
      </c>
      <c r="X49" s="7">
        <v>370</v>
      </c>
      <c r="Y49" s="7">
        <v>75.099999999999994</v>
      </c>
      <c r="Z49" s="7">
        <v>1</v>
      </c>
      <c r="AA49" s="7">
        <v>51.7067264573991</v>
      </c>
    </row>
    <row r="50" spans="1:27" x14ac:dyDescent="0.2">
      <c r="A50" t="s">
        <v>122</v>
      </c>
      <c r="B50">
        <v>49</v>
      </c>
      <c r="C50" t="s">
        <v>123</v>
      </c>
      <c r="D50" t="s">
        <v>56</v>
      </c>
      <c r="E50" t="s">
        <v>59</v>
      </c>
      <c r="F50">
        <v>0</v>
      </c>
      <c r="G50" s="7">
        <v>62</v>
      </c>
      <c r="H50" s="7">
        <v>19.8</v>
      </c>
      <c r="I50" s="7">
        <v>1.2</v>
      </c>
      <c r="J50" s="7">
        <v>0.17</v>
      </c>
      <c r="K50" s="7">
        <v>2.6</v>
      </c>
      <c r="L50" s="7">
        <v>0</v>
      </c>
      <c r="M50" s="7">
        <v>21.7</v>
      </c>
      <c r="N50" s="7">
        <v>3</v>
      </c>
      <c r="O50" s="7">
        <v>0</v>
      </c>
      <c r="P50" s="7">
        <v>0.09</v>
      </c>
      <c r="Q50" s="7">
        <v>120</v>
      </c>
      <c r="R50" s="7">
        <v>7.3</v>
      </c>
      <c r="S50" s="7">
        <v>2</v>
      </c>
      <c r="T50" s="7">
        <v>695</v>
      </c>
      <c r="U50" s="7">
        <v>0.67</v>
      </c>
      <c r="V50" s="7">
        <v>0.7</v>
      </c>
      <c r="W50" s="7">
        <v>216</v>
      </c>
      <c r="X50" s="7">
        <v>320</v>
      </c>
      <c r="Y50" s="7">
        <v>360</v>
      </c>
      <c r="Z50" s="7">
        <v>2.0099999999999998</v>
      </c>
      <c r="AA50" s="7">
        <v>56.999999999999993</v>
      </c>
    </row>
    <row r="51" spans="1:27" x14ac:dyDescent="0.2">
      <c r="A51" t="s">
        <v>124</v>
      </c>
      <c r="B51">
        <v>50</v>
      </c>
      <c r="C51" t="s">
        <v>125</v>
      </c>
      <c r="D51" t="s">
        <v>56</v>
      </c>
      <c r="E51" t="s">
        <v>59</v>
      </c>
      <c r="F51">
        <v>0</v>
      </c>
      <c r="G51" s="7">
        <v>83</v>
      </c>
      <c r="H51" s="7">
        <v>14.41</v>
      </c>
      <c r="I51" s="7">
        <v>0.92</v>
      </c>
      <c r="J51" s="7">
        <v>0.37</v>
      </c>
      <c r="K51" s="7">
        <v>0.75900000000000001</v>
      </c>
      <c r="L51" s="7">
        <v>0</v>
      </c>
      <c r="M51" s="7">
        <v>1.4</v>
      </c>
      <c r="N51" s="7">
        <v>15</v>
      </c>
      <c r="O51" s="7">
        <v>0</v>
      </c>
      <c r="P51" s="7">
        <v>0.05</v>
      </c>
      <c r="Q51" s="7">
        <v>90</v>
      </c>
      <c r="R51" s="7">
        <v>7.9</v>
      </c>
      <c r="S51" s="7">
        <v>2.0499999999999998</v>
      </c>
      <c r="T51" s="7">
        <v>21</v>
      </c>
      <c r="U51" s="7">
        <v>0.68</v>
      </c>
      <c r="V51" s="7">
        <v>0.9</v>
      </c>
      <c r="W51" s="7">
        <v>235</v>
      </c>
      <c r="X51" s="7">
        <v>300</v>
      </c>
      <c r="Y51" s="7">
        <v>230.8015</v>
      </c>
      <c r="Z51" s="7">
        <v>1.95</v>
      </c>
      <c r="AA51" s="7">
        <v>19.2861878453039</v>
      </c>
    </row>
    <row r="52" spans="1:27" x14ac:dyDescent="0.2">
      <c r="A52" t="s">
        <v>120</v>
      </c>
      <c r="B52">
        <v>51</v>
      </c>
      <c r="C52" t="s">
        <v>126</v>
      </c>
      <c r="D52" t="s">
        <v>56</v>
      </c>
      <c r="E52" t="s">
        <v>59</v>
      </c>
      <c r="F52">
        <v>0</v>
      </c>
      <c r="G52" s="7">
        <v>87</v>
      </c>
      <c r="H52" s="7">
        <v>19.8</v>
      </c>
      <c r="I52" s="7">
        <v>0.9</v>
      </c>
      <c r="J52" s="7">
        <v>0.17</v>
      </c>
      <c r="K52" s="7">
        <v>0.4</v>
      </c>
      <c r="L52" s="7">
        <v>0</v>
      </c>
      <c r="M52" s="7">
        <v>1.8</v>
      </c>
      <c r="N52" s="7">
        <v>7</v>
      </c>
      <c r="O52" s="7">
        <v>7</v>
      </c>
      <c r="P52" s="7">
        <v>0.04</v>
      </c>
      <c r="Q52" s="7">
        <v>70</v>
      </c>
      <c r="R52" s="7">
        <v>7.3</v>
      </c>
      <c r="S52" s="7">
        <v>0.9</v>
      </c>
      <c r="T52" s="7">
        <v>76</v>
      </c>
      <c r="U52" s="7">
        <v>0.67</v>
      </c>
      <c r="V52" s="7">
        <v>1.2</v>
      </c>
      <c r="W52" s="7">
        <v>233.25</v>
      </c>
      <c r="X52" s="7">
        <v>299.5</v>
      </c>
      <c r="Y52" s="7">
        <v>269</v>
      </c>
      <c r="Z52" s="7">
        <v>2.0049999999999999</v>
      </c>
      <c r="AA52" s="7">
        <v>56.222222222222193</v>
      </c>
    </row>
    <row r="53" spans="1:27" x14ac:dyDescent="0.2">
      <c r="B53">
        <v>52</v>
      </c>
      <c r="C53" t="s">
        <v>127</v>
      </c>
      <c r="D53" t="s">
        <v>127</v>
      </c>
      <c r="E53" t="s">
        <v>28</v>
      </c>
      <c r="F53">
        <v>0</v>
      </c>
      <c r="G53" s="7"/>
      <c r="H53" s="7"/>
      <c r="I53" s="7"/>
      <c r="J53" s="7"/>
      <c r="K53" s="7"/>
      <c r="L53" s="7"/>
      <c r="M53" s="7"/>
      <c r="N53" s="7"/>
      <c r="O53" s="7"/>
      <c r="P53" s="7"/>
      <c r="Q53" s="7"/>
      <c r="R53" s="7"/>
      <c r="S53" s="7"/>
      <c r="T53" s="7"/>
      <c r="U53" s="7"/>
      <c r="V53" s="7"/>
      <c r="W53" s="7"/>
      <c r="X53" s="7"/>
      <c r="Y53" s="7"/>
      <c r="Z53" s="7"/>
      <c r="AA53" s="7"/>
    </row>
    <row r="54" spans="1:27" x14ac:dyDescent="0.2">
      <c r="A54" t="s">
        <v>128</v>
      </c>
      <c r="B54">
        <v>53</v>
      </c>
      <c r="C54" t="s">
        <v>129</v>
      </c>
      <c r="D54" t="s">
        <v>127</v>
      </c>
      <c r="E54" t="s">
        <v>31</v>
      </c>
      <c r="F54">
        <v>1</v>
      </c>
      <c r="G54" s="7">
        <v>184.6</v>
      </c>
      <c r="H54" s="7">
        <v>19.18</v>
      </c>
      <c r="I54" s="7">
        <v>12</v>
      </c>
      <c r="J54" s="12">
        <v>0</v>
      </c>
      <c r="K54" s="7">
        <v>0</v>
      </c>
      <c r="L54" s="7">
        <v>0</v>
      </c>
      <c r="M54" s="7">
        <v>2.02</v>
      </c>
      <c r="N54" s="7">
        <v>9</v>
      </c>
      <c r="O54" s="7">
        <v>105.8</v>
      </c>
      <c r="P54" s="7">
        <v>0.1</v>
      </c>
      <c r="Q54" s="7">
        <v>0.30599999999999999</v>
      </c>
      <c r="R54" s="7">
        <v>4.22</v>
      </c>
      <c r="S54" s="7">
        <v>0</v>
      </c>
      <c r="T54" s="7">
        <v>10.8</v>
      </c>
      <c r="U54" s="7">
        <v>1.02</v>
      </c>
      <c r="V54" s="7">
        <v>2.74</v>
      </c>
      <c r="W54" s="7">
        <v>189</v>
      </c>
      <c r="X54" s="7">
        <v>433.92</v>
      </c>
      <c r="Y54" s="7">
        <v>100.2</v>
      </c>
      <c r="Z54" s="7">
        <v>3.78</v>
      </c>
      <c r="AA54" s="7">
        <v>100</v>
      </c>
    </row>
    <row r="55" spans="1:27" x14ac:dyDescent="0.2">
      <c r="A55" t="s">
        <v>130</v>
      </c>
      <c r="B55">
        <v>54</v>
      </c>
      <c r="C55" t="s">
        <v>131</v>
      </c>
      <c r="D55" t="s">
        <v>127</v>
      </c>
      <c r="E55" t="s">
        <v>31</v>
      </c>
      <c r="F55">
        <v>1</v>
      </c>
      <c r="G55" s="7">
        <v>222.6666666666666</v>
      </c>
      <c r="H55" s="7">
        <v>16.466666666666669</v>
      </c>
      <c r="I55" s="7">
        <v>17.233333333333331</v>
      </c>
      <c r="J55" s="12">
        <v>0</v>
      </c>
      <c r="K55" s="7">
        <v>0</v>
      </c>
      <c r="L55" s="7">
        <v>0</v>
      </c>
      <c r="M55" s="7">
        <v>2.166666666666667</v>
      </c>
      <c r="N55" s="7">
        <v>0</v>
      </c>
      <c r="O55" s="7">
        <v>0</v>
      </c>
      <c r="P55" s="7">
        <v>0.12666666666666671</v>
      </c>
      <c r="Q55" s="7">
        <v>0.24</v>
      </c>
      <c r="R55" s="7">
        <v>5.7333333333333334</v>
      </c>
      <c r="S55" s="7">
        <v>0</v>
      </c>
      <c r="T55" s="7">
        <v>10</v>
      </c>
      <c r="U55" s="7">
        <v>0.16666666666666671</v>
      </c>
      <c r="V55" s="7">
        <v>2</v>
      </c>
      <c r="W55" s="7">
        <v>157.33333333333329</v>
      </c>
      <c r="X55" s="7">
        <v>288.60000000000002</v>
      </c>
      <c r="Y55" s="7">
        <v>83.333333333333329</v>
      </c>
      <c r="Z55" s="7">
        <v>3.8</v>
      </c>
      <c r="AA55" s="7">
        <v>100</v>
      </c>
    </row>
    <row r="56" spans="1:27" x14ac:dyDescent="0.2">
      <c r="A56" t="s">
        <v>132</v>
      </c>
      <c r="B56">
        <v>55</v>
      </c>
      <c r="C56" t="s">
        <v>133</v>
      </c>
      <c r="D56" t="s">
        <v>127</v>
      </c>
      <c r="E56" t="s">
        <v>31</v>
      </c>
      <c r="F56">
        <v>1</v>
      </c>
      <c r="G56" s="7">
        <v>412</v>
      </c>
      <c r="H56" s="7">
        <v>13</v>
      </c>
      <c r="I56" s="7">
        <v>40</v>
      </c>
      <c r="J56" s="12">
        <v>0</v>
      </c>
      <c r="K56" s="7">
        <v>0</v>
      </c>
      <c r="L56" s="7">
        <v>0</v>
      </c>
      <c r="M56" s="7">
        <v>1</v>
      </c>
      <c r="N56" s="7">
        <v>0</v>
      </c>
      <c r="O56" s="7">
        <v>0</v>
      </c>
      <c r="P56" s="7">
        <v>0.625</v>
      </c>
      <c r="Q56" s="7">
        <v>0.46</v>
      </c>
      <c r="R56" s="7">
        <v>5.65</v>
      </c>
      <c r="S56" s="7">
        <v>0</v>
      </c>
      <c r="T56" s="7">
        <v>7.5</v>
      </c>
      <c r="U56" s="7">
        <v>0.20499999999999999</v>
      </c>
      <c r="V56" s="7">
        <v>1.95</v>
      </c>
      <c r="W56" s="7">
        <v>134</v>
      </c>
      <c r="X56" s="7">
        <v>762.8</v>
      </c>
      <c r="Y56" s="7">
        <v>104.5</v>
      </c>
      <c r="Z56" s="7">
        <v>0.4</v>
      </c>
      <c r="AA56" s="7">
        <v>100</v>
      </c>
    </row>
    <row r="57" spans="1:27" x14ac:dyDescent="0.2">
      <c r="A57" t="s">
        <v>134</v>
      </c>
      <c r="B57">
        <v>56</v>
      </c>
      <c r="C57" t="s">
        <v>135</v>
      </c>
      <c r="D57" t="s">
        <v>127</v>
      </c>
      <c r="E57" t="s">
        <v>31</v>
      </c>
      <c r="F57">
        <v>1</v>
      </c>
      <c r="G57" s="7">
        <v>298</v>
      </c>
      <c r="H57" s="7">
        <v>18.2</v>
      </c>
      <c r="I57" s="7">
        <v>25</v>
      </c>
      <c r="J57" s="12">
        <v>0</v>
      </c>
      <c r="K57" s="7">
        <v>0</v>
      </c>
      <c r="L57" s="7">
        <v>0</v>
      </c>
      <c r="M57" s="7">
        <v>0.9</v>
      </c>
      <c r="N57" s="7">
        <v>245</v>
      </c>
      <c r="O57" s="7">
        <v>0</v>
      </c>
      <c r="P57" s="7">
        <v>0.08</v>
      </c>
      <c r="Q57" s="7">
        <v>0.14000000000000001</v>
      </c>
      <c r="R57" s="7">
        <v>10.4</v>
      </c>
      <c r="S57" s="7">
        <v>0</v>
      </c>
      <c r="T57" s="7">
        <v>14</v>
      </c>
      <c r="U57" s="7">
        <v>0.11</v>
      </c>
      <c r="V57" s="7">
        <v>1.5</v>
      </c>
      <c r="W57" s="7">
        <v>200</v>
      </c>
      <c r="X57" s="7">
        <v>385.9</v>
      </c>
      <c r="Y57" s="7">
        <v>109</v>
      </c>
      <c r="Z57" s="7">
        <v>0.6</v>
      </c>
      <c r="AA57" s="7">
        <v>58</v>
      </c>
    </row>
    <row r="58" spans="1:27" x14ac:dyDescent="0.2">
      <c r="A58" t="s">
        <v>136</v>
      </c>
      <c r="B58">
        <v>57</v>
      </c>
      <c r="C58" t="s">
        <v>137</v>
      </c>
      <c r="D58" t="s">
        <v>127</v>
      </c>
      <c r="E58" t="s">
        <v>31</v>
      </c>
      <c r="F58">
        <v>1</v>
      </c>
      <c r="G58" s="7">
        <v>298</v>
      </c>
      <c r="H58" s="7">
        <v>18.2</v>
      </c>
      <c r="I58" s="7">
        <v>25</v>
      </c>
      <c r="J58" s="12">
        <v>0</v>
      </c>
      <c r="K58" s="7">
        <v>0</v>
      </c>
      <c r="L58" s="7">
        <v>0</v>
      </c>
      <c r="M58" s="7">
        <v>0.9</v>
      </c>
      <c r="N58" s="7">
        <v>245</v>
      </c>
      <c r="O58" s="7">
        <v>0</v>
      </c>
      <c r="P58" s="7">
        <v>0.08</v>
      </c>
      <c r="Q58" s="7">
        <v>0.14000000000000001</v>
      </c>
      <c r="R58" s="7">
        <v>10.4</v>
      </c>
      <c r="S58" s="7">
        <v>0</v>
      </c>
      <c r="T58" s="7">
        <v>14</v>
      </c>
      <c r="U58" s="7">
        <v>0.11</v>
      </c>
      <c r="V58" s="7">
        <v>1.5</v>
      </c>
      <c r="W58" s="7">
        <v>200</v>
      </c>
      <c r="X58" s="7">
        <v>385.9</v>
      </c>
      <c r="Y58" s="7">
        <v>109</v>
      </c>
      <c r="Z58" s="7">
        <v>0.6</v>
      </c>
      <c r="AA58" s="7">
        <v>58</v>
      </c>
    </row>
    <row r="59" spans="1:27" x14ac:dyDescent="0.2">
      <c r="A59" t="s">
        <v>138</v>
      </c>
      <c r="B59">
        <v>58</v>
      </c>
      <c r="C59" t="s">
        <v>139</v>
      </c>
      <c r="D59" t="s">
        <v>127</v>
      </c>
      <c r="E59" t="s">
        <v>31</v>
      </c>
      <c r="F59">
        <v>1</v>
      </c>
      <c r="G59" s="7">
        <v>209.875</v>
      </c>
      <c r="H59" s="7">
        <v>15.425000000000001</v>
      </c>
      <c r="I59" s="7">
        <v>15.675000000000001</v>
      </c>
      <c r="J59" s="12">
        <v>0</v>
      </c>
      <c r="K59" s="7">
        <v>1.65</v>
      </c>
      <c r="L59" s="7">
        <v>0.34999999999999992</v>
      </c>
      <c r="M59" s="7">
        <v>1.0125</v>
      </c>
      <c r="N59" s="7">
        <v>136.5</v>
      </c>
      <c r="O59" s="7">
        <v>0</v>
      </c>
      <c r="P59" s="7">
        <v>0.16750000000000001</v>
      </c>
      <c r="Q59" s="7">
        <v>0.30499999999999999</v>
      </c>
      <c r="R59" s="7">
        <v>4.1387499999999999</v>
      </c>
      <c r="S59" s="7">
        <v>0</v>
      </c>
      <c r="T59" s="7">
        <v>13.625</v>
      </c>
      <c r="U59" s="7">
        <v>0.51857142857142857</v>
      </c>
      <c r="V59" s="7">
        <v>3.1875</v>
      </c>
      <c r="W59" s="7">
        <v>206.5</v>
      </c>
      <c r="X59" s="7">
        <v>254</v>
      </c>
      <c r="Y59" s="7">
        <v>77.125</v>
      </c>
      <c r="Z59" s="7">
        <v>2.6142857142857139</v>
      </c>
      <c r="AA59" s="7">
        <v>90</v>
      </c>
    </row>
    <row r="60" spans="1:27" x14ac:dyDescent="0.2">
      <c r="A60" t="s">
        <v>140</v>
      </c>
      <c r="B60">
        <v>59</v>
      </c>
      <c r="C60" t="s">
        <v>141</v>
      </c>
      <c r="D60" t="s">
        <v>127</v>
      </c>
      <c r="E60" t="s">
        <v>31</v>
      </c>
      <c r="F60">
        <v>1</v>
      </c>
      <c r="G60" s="7">
        <v>370.44444444444451</v>
      </c>
      <c r="H60" s="7">
        <v>37.555555555555557</v>
      </c>
      <c r="I60" s="7">
        <v>17.611111111111111</v>
      </c>
      <c r="J60" s="12">
        <v>0</v>
      </c>
      <c r="K60" s="7">
        <v>21.033333333333331</v>
      </c>
      <c r="L60" s="7">
        <v>3.333333333333333</v>
      </c>
      <c r="M60" s="7">
        <v>5.6111111111111107</v>
      </c>
      <c r="N60" s="7">
        <v>929.42857142857122</v>
      </c>
      <c r="O60" s="7">
        <v>92</v>
      </c>
      <c r="P60" s="7">
        <v>0.27500000000000002</v>
      </c>
      <c r="Q60" s="7">
        <v>0.95</v>
      </c>
      <c r="R60" s="7">
        <v>3.3666666666666671</v>
      </c>
      <c r="S60" s="7">
        <v>0</v>
      </c>
      <c r="T60" s="7">
        <v>91.222222222222243</v>
      </c>
      <c r="U60" s="7">
        <v>0.70166666666666666</v>
      </c>
      <c r="V60" s="7">
        <v>9.7666666666666675</v>
      </c>
      <c r="W60" s="7">
        <v>331.55555555555549</v>
      </c>
      <c r="X60" s="7">
        <v>802.2166666666667</v>
      </c>
      <c r="Y60" s="7">
        <v>678.5</v>
      </c>
      <c r="Z60" s="7">
        <v>5.3833333333333329</v>
      </c>
      <c r="AA60" s="7">
        <v>100</v>
      </c>
    </row>
    <row r="61" spans="1:27" x14ac:dyDescent="0.2">
      <c r="A61" t="s">
        <v>142</v>
      </c>
      <c r="B61">
        <v>60</v>
      </c>
      <c r="C61" t="s">
        <v>143</v>
      </c>
      <c r="D61" t="s">
        <v>127</v>
      </c>
      <c r="E61" t="s">
        <v>31</v>
      </c>
      <c r="F61">
        <v>1</v>
      </c>
      <c r="G61" s="7">
        <v>273</v>
      </c>
      <c r="H61" s="7">
        <v>17.5</v>
      </c>
      <c r="I61" s="7">
        <v>22</v>
      </c>
      <c r="J61" s="12">
        <v>0</v>
      </c>
      <c r="K61" s="7">
        <v>0</v>
      </c>
      <c r="L61" s="7">
        <v>0</v>
      </c>
      <c r="M61" s="7">
        <v>0.5</v>
      </c>
      <c r="N61" s="7">
        <v>12</v>
      </c>
      <c r="O61" s="7">
        <v>0</v>
      </c>
      <c r="P61" s="7">
        <v>0.08</v>
      </c>
      <c r="Q61" s="7">
        <v>0.18</v>
      </c>
      <c r="R61" s="7">
        <v>7.3</v>
      </c>
      <c r="S61" s="7">
        <v>0</v>
      </c>
      <c r="T61" s="7">
        <v>10</v>
      </c>
      <c r="U61" s="7">
        <v>0.17</v>
      </c>
      <c r="V61" s="7">
        <v>2.6</v>
      </c>
      <c r="W61" s="7">
        <v>150</v>
      </c>
      <c r="X61" s="7">
        <v>267</v>
      </c>
      <c r="Y61" s="7">
        <v>93</v>
      </c>
      <c r="Z61" s="7">
        <v>6.4</v>
      </c>
      <c r="AA61" s="7">
        <v>100</v>
      </c>
    </row>
    <row r="62" spans="1:27" x14ac:dyDescent="0.2">
      <c r="A62" t="s">
        <v>144</v>
      </c>
      <c r="B62">
        <v>61</v>
      </c>
      <c r="C62" t="s">
        <v>145</v>
      </c>
      <c r="D62" t="s">
        <v>127</v>
      </c>
      <c r="E62" t="s">
        <v>31</v>
      </c>
      <c r="F62">
        <v>1</v>
      </c>
      <c r="G62" s="7">
        <v>128.15384615384619</v>
      </c>
      <c r="H62" s="7">
        <v>16.530769230769231</v>
      </c>
      <c r="I62" s="7">
        <v>6.3153846153846152</v>
      </c>
      <c r="J62" s="12">
        <v>0</v>
      </c>
      <c r="K62" s="7">
        <v>1.276923076923077</v>
      </c>
      <c r="L62" s="7">
        <v>0</v>
      </c>
      <c r="M62" s="7">
        <v>1.3384615384615379</v>
      </c>
      <c r="N62" s="7">
        <v>2020.5</v>
      </c>
      <c r="O62" s="7">
        <v>169.91666666666671</v>
      </c>
      <c r="P62" s="7">
        <v>0.28153846153846152</v>
      </c>
      <c r="Q62" s="7">
        <v>1.1083333333333329</v>
      </c>
      <c r="R62" s="7">
        <v>4.6084615384615386</v>
      </c>
      <c r="S62" s="7">
        <v>10.09090909090909</v>
      </c>
      <c r="T62" s="7">
        <v>22.69230769230769</v>
      </c>
      <c r="U62" s="7">
        <v>0.4211111111111111</v>
      </c>
      <c r="V62" s="7">
        <v>6.1999999999999993</v>
      </c>
      <c r="W62" s="7">
        <v>211.61538461538461</v>
      </c>
      <c r="X62" s="7">
        <v>233.85833333333329</v>
      </c>
      <c r="Y62" s="7">
        <v>239.83333333333329</v>
      </c>
      <c r="Z62" s="7">
        <v>1.38</v>
      </c>
      <c r="AA62" s="7">
        <v>100</v>
      </c>
    </row>
    <row r="63" spans="1:27" x14ac:dyDescent="0.2">
      <c r="B63">
        <v>62</v>
      </c>
      <c r="C63" t="s">
        <v>146</v>
      </c>
      <c r="D63" t="s">
        <v>146</v>
      </c>
      <c r="E63" t="s">
        <v>28</v>
      </c>
      <c r="F63">
        <v>0</v>
      </c>
      <c r="G63" s="7"/>
      <c r="H63" s="7"/>
      <c r="I63" s="7"/>
      <c r="J63" s="7"/>
      <c r="K63" s="7"/>
      <c r="L63" s="7"/>
      <c r="M63" s="7"/>
      <c r="N63" s="7"/>
      <c r="O63" s="7"/>
      <c r="P63" s="7"/>
      <c r="Q63" s="7"/>
      <c r="R63" s="7"/>
      <c r="S63" s="7"/>
      <c r="T63" s="7"/>
      <c r="U63" s="7"/>
      <c r="V63" s="7"/>
      <c r="W63" s="7"/>
      <c r="X63" s="7"/>
      <c r="Y63" s="7"/>
      <c r="Z63" s="7"/>
      <c r="AA63" s="7"/>
    </row>
    <row r="64" spans="1:27" x14ac:dyDescent="0.2">
      <c r="A64" t="s">
        <v>147</v>
      </c>
      <c r="B64">
        <v>63</v>
      </c>
      <c r="C64" t="s">
        <v>148</v>
      </c>
      <c r="D64" t="s">
        <v>146</v>
      </c>
      <c r="E64" t="s">
        <v>31</v>
      </c>
      <c r="F64">
        <v>1</v>
      </c>
      <c r="G64" s="7">
        <v>154</v>
      </c>
      <c r="H64" s="7">
        <v>12.4</v>
      </c>
      <c r="I64" s="7">
        <v>10.8</v>
      </c>
      <c r="J64" s="12">
        <v>0</v>
      </c>
      <c r="K64" s="7">
        <v>0.7</v>
      </c>
      <c r="L64" s="7">
        <v>0</v>
      </c>
      <c r="M64" s="7">
        <v>0.8</v>
      </c>
      <c r="N64" s="7">
        <v>61</v>
      </c>
      <c r="O64" s="7">
        <v>22</v>
      </c>
      <c r="P64" s="7">
        <v>0.12</v>
      </c>
      <c r="Q64" s="7">
        <v>0.38</v>
      </c>
      <c r="R64" s="7">
        <v>0.2</v>
      </c>
      <c r="S64" s="7">
        <v>0</v>
      </c>
      <c r="T64" s="7">
        <v>86</v>
      </c>
      <c r="U64" s="7">
        <v>0.16</v>
      </c>
      <c r="V64" s="7">
        <v>3</v>
      </c>
      <c r="W64" s="7">
        <v>258</v>
      </c>
      <c r="X64" s="7">
        <v>118.5</v>
      </c>
      <c r="Y64" s="7">
        <v>142</v>
      </c>
      <c r="Z64" s="7">
        <v>1</v>
      </c>
      <c r="AA64" s="7">
        <v>89</v>
      </c>
    </row>
    <row r="65" spans="1:27" x14ac:dyDescent="0.2">
      <c r="A65" t="s">
        <v>149</v>
      </c>
      <c r="B65">
        <v>64</v>
      </c>
      <c r="C65" t="s">
        <v>150</v>
      </c>
      <c r="D65" t="s">
        <v>146</v>
      </c>
      <c r="E65" t="s">
        <v>31</v>
      </c>
      <c r="F65">
        <v>2</v>
      </c>
      <c r="G65" s="7">
        <v>174</v>
      </c>
      <c r="H65" s="7">
        <v>10.8</v>
      </c>
      <c r="I65" s="7">
        <v>14</v>
      </c>
      <c r="J65" s="12">
        <v>0</v>
      </c>
      <c r="K65" s="7">
        <v>1.2</v>
      </c>
      <c r="L65" s="7">
        <v>0</v>
      </c>
      <c r="M65" s="7">
        <v>0.9</v>
      </c>
      <c r="N65" s="7">
        <v>203</v>
      </c>
      <c r="O65" s="7">
        <v>23</v>
      </c>
      <c r="P65" s="7">
        <v>0.78</v>
      </c>
      <c r="Q65" s="7">
        <v>0.62</v>
      </c>
      <c r="R65" s="7">
        <v>0.2</v>
      </c>
      <c r="S65" s="8">
        <v>0</v>
      </c>
      <c r="T65" s="7">
        <v>68</v>
      </c>
      <c r="U65" s="7">
        <v>0.6</v>
      </c>
      <c r="V65" s="7">
        <v>4.9000000000000004</v>
      </c>
      <c r="W65" s="7">
        <v>268</v>
      </c>
      <c r="X65" s="7">
        <v>141</v>
      </c>
      <c r="Y65" s="7">
        <v>190</v>
      </c>
      <c r="Z65" s="7">
        <v>1.5</v>
      </c>
      <c r="AA65" s="7">
        <v>87</v>
      </c>
    </row>
    <row r="66" spans="1:27" x14ac:dyDescent="0.2">
      <c r="A66" t="s">
        <v>151</v>
      </c>
      <c r="B66">
        <v>65</v>
      </c>
      <c r="C66" t="s">
        <v>152</v>
      </c>
      <c r="D66" t="s">
        <v>146</v>
      </c>
      <c r="E66" t="s">
        <v>31</v>
      </c>
      <c r="F66">
        <v>2</v>
      </c>
      <c r="G66" s="7">
        <v>187</v>
      </c>
      <c r="H66" s="7">
        <v>11.35</v>
      </c>
      <c r="I66" s="7">
        <v>13.3</v>
      </c>
      <c r="J66" s="12">
        <v>0</v>
      </c>
      <c r="K66" s="7">
        <v>5.45</v>
      </c>
      <c r="L66" s="7">
        <v>0</v>
      </c>
      <c r="M66" s="7">
        <v>1.05</v>
      </c>
      <c r="N66" s="7">
        <v>279</v>
      </c>
      <c r="O66" s="7">
        <v>454</v>
      </c>
      <c r="P66" s="7">
        <v>1.585</v>
      </c>
      <c r="Q66" s="7">
        <v>0.2</v>
      </c>
      <c r="R66" s="7">
        <v>0.1</v>
      </c>
      <c r="S66" s="8">
        <v>0</v>
      </c>
      <c r="T66" s="7">
        <v>62</v>
      </c>
      <c r="U66" s="7">
        <v>0.5</v>
      </c>
      <c r="V66" s="7">
        <v>5.7</v>
      </c>
      <c r="W66" s="7">
        <v>281.5</v>
      </c>
      <c r="X66" s="7">
        <v>113</v>
      </c>
      <c r="Y66" s="7">
        <v>162</v>
      </c>
      <c r="Z66" s="7">
        <v>1.75</v>
      </c>
      <c r="AA66" s="7">
        <v>90</v>
      </c>
    </row>
    <row r="67" spans="1:27" x14ac:dyDescent="0.2">
      <c r="A67" t="s">
        <v>153</v>
      </c>
      <c r="B67">
        <v>66</v>
      </c>
      <c r="C67" t="s">
        <v>154</v>
      </c>
      <c r="D67" t="s">
        <v>146</v>
      </c>
      <c r="E67" t="s">
        <v>31</v>
      </c>
      <c r="F67">
        <v>1</v>
      </c>
      <c r="G67" s="7">
        <v>216.75</v>
      </c>
      <c r="H67" s="7">
        <v>14.85</v>
      </c>
      <c r="I67" s="7">
        <v>16.675000000000001</v>
      </c>
      <c r="J67" s="12">
        <v>0</v>
      </c>
      <c r="K67" s="7">
        <v>2.2749999999999999</v>
      </c>
      <c r="L67" s="7">
        <v>0</v>
      </c>
      <c r="M67" s="7">
        <v>1.2749999999999999</v>
      </c>
      <c r="N67" s="7">
        <v>1104.25</v>
      </c>
      <c r="O67" s="7">
        <v>36.666666666666657</v>
      </c>
      <c r="P67" s="7">
        <v>0.20666666666666669</v>
      </c>
      <c r="Q67" s="7">
        <v>0.66249999999999998</v>
      </c>
      <c r="R67" s="7">
        <v>0.22500000000000001</v>
      </c>
      <c r="S67" s="7">
        <v>0</v>
      </c>
      <c r="T67" s="7">
        <v>101.25</v>
      </c>
      <c r="U67" s="7">
        <v>0.31666666666666671</v>
      </c>
      <c r="V67" s="7">
        <v>3.25</v>
      </c>
      <c r="W67" s="7">
        <v>187.5</v>
      </c>
      <c r="X67" s="7">
        <v>149.77500000000001</v>
      </c>
      <c r="Y67" s="7">
        <v>287.25</v>
      </c>
      <c r="Z67" s="7">
        <v>1.833333333333333</v>
      </c>
      <c r="AA67" s="7">
        <v>91</v>
      </c>
    </row>
    <row r="68" spans="1:27" x14ac:dyDescent="0.2">
      <c r="A68" t="s">
        <v>155</v>
      </c>
      <c r="B68">
        <v>67</v>
      </c>
      <c r="C68" t="s">
        <v>156</v>
      </c>
      <c r="D68" t="s">
        <v>146</v>
      </c>
      <c r="E68" t="s">
        <v>31</v>
      </c>
      <c r="F68">
        <v>1</v>
      </c>
      <c r="G68" s="7">
        <v>61</v>
      </c>
      <c r="H68" s="7">
        <v>3.2</v>
      </c>
      <c r="I68" s="7">
        <v>3.5</v>
      </c>
      <c r="J68" s="12">
        <v>0</v>
      </c>
      <c r="K68" s="7">
        <v>4.3</v>
      </c>
      <c r="L68" s="7">
        <v>0</v>
      </c>
      <c r="M68" s="7">
        <v>0.7</v>
      </c>
      <c r="N68" s="7">
        <v>39</v>
      </c>
      <c r="O68" s="7">
        <v>12</v>
      </c>
      <c r="P68" s="7">
        <v>0.03</v>
      </c>
      <c r="Q68" s="7">
        <v>0.18</v>
      </c>
      <c r="R68" s="7">
        <v>0.2</v>
      </c>
      <c r="S68" s="7">
        <v>1</v>
      </c>
      <c r="T68" s="7">
        <v>143</v>
      </c>
      <c r="U68" s="7">
        <v>0.02</v>
      </c>
      <c r="V68" s="7">
        <v>1.7</v>
      </c>
      <c r="W68" s="7">
        <v>60</v>
      </c>
      <c r="X68" s="7">
        <v>149</v>
      </c>
      <c r="Y68" s="7">
        <v>36</v>
      </c>
      <c r="Z68" s="7">
        <v>0.3</v>
      </c>
      <c r="AA68" s="7">
        <v>100</v>
      </c>
    </row>
    <row r="69" spans="1:27" x14ac:dyDescent="0.2">
      <c r="A69" t="s">
        <v>157</v>
      </c>
      <c r="B69">
        <v>68</v>
      </c>
      <c r="C69" t="s">
        <v>158</v>
      </c>
      <c r="D69" t="s">
        <v>146</v>
      </c>
      <c r="E69" t="s">
        <v>31</v>
      </c>
      <c r="F69">
        <v>1</v>
      </c>
      <c r="G69" s="7">
        <v>343</v>
      </c>
      <c r="H69" s="7">
        <v>8.1999999999999993</v>
      </c>
      <c r="I69" s="7">
        <v>10</v>
      </c>
      <c r="J69" s="12">
        <v>0</v>
      </c>
      <c r="K69" s="7">
        <v>55</v>
      </c>
      <c r="L69" s="7">
        <v>0</v>
      </c>
      <c r="M69" s="7">
        <v>1.8</v>
      </c>
      <c r="N69" s="7">
        <v>155</v>
      </c>
      <c r="O69" s="7">
        <v>46</v>
      </c>
      <c r="P69" s="7">
        <v>0.05</v>
      </c>
      <c r="Q69" s="7">
        <v>0.43</v>
      </c>
      <c r="R69" s="7">
        <v>0.4</v>
      </c>
      <c r="S69" s="7">
        <v>1</v>
      </c>
      <c r="T69" s="7">
        <v>275</v>
      </c>
      <c r="U69" s="7">
        <v>0.02</v>
      </c>
      <c r="V69" s="7">
        <v>0.2</v>
      </c>
      <c r="W69" s="7">
        <v>209</v>
      </c>
      <c r="X69" s="7">
        <v>320</v>
      </c>
      <c r="Y69" s="7">
        <v>150</v>
      </c>
      <c r="Z69" s="7">
        <v>1</v>
      </c>
      <c r="AA69" s="7">
        <v>100</v>
      </c>
    </row>
    <row r="70" spans="1:27" x14ac:dyDescent="0.2">
      <c r="A70" t="s">
        <v>159</v>
      </c>
      <c r="B70">
        <v>69</v>
      </c>
      <c r="C70" t="s">
        <v>160</v>
      </c>
      <c r="D70" t="s">
        <v>146</v>
      </c>
      <c r="E70" t="s">
        <v>31</v>
      </c>
      <c r="F70">
        <v>1</v>
      </c>
      <c r="G70" s="7">
        <v>513</v>
      </c>
      <c r="H70" s="7">
        <v>24.6</v>
      </c>
      <c r="I70" s="7">
        <v>30</v>
      </c>
      <c r="J70" s="12">
        <v>0</v>
      </c>
      <c r="K70" s="7">
        <v>36.200000000000003</v>
      </c>
      <c r="L70" s="7">
        <v>0</v>
      </c>
      <c r="M70" s="7">
        <v>5.7</v>
      </c>
      <c r="N70" s="7">
        <v>476</v>
      </c>
      <c r="O70" s="7">
        <v>118</v>
      </c>
      <c r="P70" s="7">
        <v>0.28999999999999998</v>
      </c>
      <c r="Q70" s="7">
        <v>1.39</v>
      </c>
      <c r="R70" s="7">
        <v>1.6</v>
      </c>
      <c r="S70" s="7">
        <v>6</v>
      </c>
      <c r="T70" s="7">
        <v>904</v>
      </c>
      <c r="U70" s="7">
        <v>0.02</v>
      </c>
      <c r="V70" s="7">
        <v>0.6</v>
      </c>
      <c r="W70" s="7">
        <v>694</v>
      </c>
      <c r="X70" s="7">
        <v>1330</v>
      </c>
      <c r="Y70" s="7">
        <v>380</v>
      </c>
      <c r="Z70" s="7">
        <v>4.0999999999999996</v>
      </c>
      <c r="AA70" s="7">
        <v>100</v>
      </c>
    </row>
    <row r="71" spans="1:27" x14ac:dyDescent="0.2">
      <c r="A71" t="s">
        <v>161</v>
      </c>
      <c r="B71">
        <v>70</v>
      </c>
      <c r="C71" t="s">
        <v>162</v>
      </c>
      <c r="D71" t="s">
        <v>146</v>
      </c>
      <c r="E71" t="s">
        <v>31</v>
      </c>
      <c r="F71">
        <v>1</v>
      </c>
      <c r="G71" s="7">
        <v>418</v>
      </c>
      <c r="H71" s="7">
        <v>19</v>
      </c>
      <c r="I71" s="7">
        <v>9</v>
      </c>
      <c r="J71" s="12">
        <v>0</v>
      </c>
      <c r="K71" s="7">
        <v>65.5</v>
      </c>
      <c r="L71" s="7">
        <v>0</v>
      </c>
      <c r="M71" s="7">
        <v>4</v>
      </c>
      <c r="N71" s="7">
        <v>303</v>
      </c>
      <c r="O71" s="7">
        <v>83</v>
      </c>
      <c r="P71" s="7">
        <v>1</v>
      </c>
      <c r="Q71" s="7">
        <v>1.31</v>
      </c>
      <c r="R71" s="7">
        <v>0.7</v>
      </c>
      <c r="S71" s="7">
        <v>30</v>
      </c>
      <c r="T71" s="7">
        <v>800</v>
      </c>
      <c r="U71" s="7">
        <v>0</v>
      </c>
      <c r="V71" s="7">
        <v>7</v>
      </c>
      <c r="W71" s="7">
        <v>600</v>
      </c>
      <c r="X71" s="7">
        <v>486.5</v>
      </c>
      <c r="Y71" s="7">
        <v>188</v>
      </c>
      <c r="Z71" s="7">
        <v>0</v>
      </c>
      <c r="AA71" s="7">
        <v>100</v>
      </c>
    </row>
    <row r="72" spans="1:27" x14ac:dyDescent="0.2">
      <c r="A72" t="s">
        <v>163</v>
      </c>
      <c r="B72">
        <v>71</v>
      </c>
      <c r="C72" t="s">
        <v>164</v>
      </c>
      <c r="D72" t="s">
        <v>146</v>
      </c>
      <c r="E72" t="s">
        <v>31</v>
      </c>
      <c r="F72">
        <v>1</v>
      </c>
      <c r="G72" s="7">
        <v>140.3636363636364</v>
      </c>
      <c r="H72" s="7">
        <v>10.481818181818181</v>
      </c>
      <c r="I72" s="7">
        <v>6.2181818181818178</v>
      </c>
      <c r="J72" s="12">
        <v>0</v>
      </c>
      <c r="K72" s="7">
        <v>10.609090909090909</v>
      </c>
      <c r="L72" s="7">
        <v>0</v>
      </c>
      <c r="M72" s="7">
        <v>2.1363636363636358</v>
      </c>
      <c r="N72" s="7">
        <v>86.428571428571416</v>
      </c>
      <c r="O72" s="7">
        <v>22.25</v>
      </c>
      <c r="P72" s="7">
        <v>0.06</v>
      </c>
      <c r="Q72" s="7">
        <v>0.34222222222222232</v>
      </c>
      <c r="R72" s="7">
        <v>0.26666666666666672</v>
      </c>
      <c r="S72" s="7">
        <v>1.714285714285714</v>
      </c>
      <c r="T72" s="7">
        <v>339.1</v>
      </c>
      <c r="U72" s="7">
        <v>5.3749999999999992E-2</v>
      </c>
      <c r="V72" s="7">
        <v>0.63</v>
      </c>
      <c r="W72" s="7">
        <v>248.9</v>
      </c>
      <c r="X72" s="7">
        <v>346.13333333333333</v>
      </c>
      <c r="Y72" s="7">
        <v>239.3</v>
      </c>
      <c r="Z72" s="7">
        <v>1.1000000000000001</v>
      </c>
      <c r="AA72" s="7">
        <v>100</v>
      </c>
    </row>
    <row r="73" spans="1:27" x14ac:dyDescent="0.2">
      <c r="B73">
        <v>72</v>
      </c>
      <c r="C73" t="s">
        <v>165</v>
      </c>
      <c r="D73" t="s">
        <v>165</v>
      </c>
      <c r="E73" t="s">
        <v>28</v>
      </c>
      <c r="F73">
        <v>0</v>
      </c>
      <c r="G73" s="7"/>
      <c r="H73" s="7"/>
      <c r="I73" s="7"/>
      <c r="J73" s="7"/>
      <c r="K73" s="7"/>
      <c r="L73" s="7"/>
      <c r="M73" s="7"/>
      <c r="N73" s="7"/>
      <c r="O73" s="7"/>
      <c r="P73" s="7"/>
      <c r="Q73" s="7"/>
      <c r="R73" s="7"/>
      <c r="S73" s="7"/>
      <c r="T73" s="7"/>
      <c r="U73" s="7"/>
      <c r="V73" s="7"/>
      <c r="W73" s="7"/>
      <c r="X73" s="7"/>
      <c r="Y73" s="7"/>
      <c r="Z73" s="7"/>
      <c r="AA73" s="7"/>
    </row>
    <row r="74" spans="1:27" x14ac:dyDescent="0.2">
      <c r="A74" t="s">
        <v>166</v>
      </c>
      <c r="B74">
        <v>73</v>
      </c>
      <c r="C74" t="s">
        <v>167</v>
      </c>
      <c r="D74" t="s">
        <v>165</v>
      </c>
      <c r="E74" t="s">
        <v>31</v>
      </c>
      <c r="F74">
        <v>1</v>
      </c>
      <c r="G74" s="7">
        <v>28.5</v>
      </c>
      <c r="H74" s="7">
        <v>1.55</v>
      </c>
      <c r="I74" s="7">
        <v>0.60000000000000009</v>
      </c>
      <c r="J74" s="12">
        <v>0</v>
      </c>
      <c r="K74" s="7">
        <v>4.5999999999999996</v>
      </c>
      <c r="L74" s="7">
        <v>1.45</v>
      </c>
      <c r="M74" s="7">
        <v>1.75</v>
      </c>
      <c r="N74" s="7">
        <v>0</v>
      </c>
      <c r="O74" s="7">
        <v>5012</v>
      </c>
      <c r="P74" s="7">
        <v>0.12</v>
      </c>
      <c r="Q74" s="7">
        <v>0.1</v>
      </c>
      <c r="R74" s="7">
        <v>0.55000000000000004</v>
      </c>
      <c r="S74" s="7">
        <v>51.5</v>
      </c>
      <c r="T74" s="7">
        <v>343</v>
      </c>
      <c r="U74" s="7">
        <v>0.16500000000000001</v>
      </c>
      <c r="V74" s="7">
        <v>5.25</v>
      </c>
      <c r="W74" s="7">
        <v>78</v>
      </c>
      <c r="X74" s="7">
        <v>258.2</v>
      </c>
      <c r="Y74" s="7">
        <v>17.899999999999999</v>
      </c>
      <c r="Z74" s="7">
        <v>0.60000000000000009</v>
      </c>
      <c r="AA74" s="7">
        <v>71</v>
      </c>
    </row>
    <row r="75" spans="1:27" x14ac:dyDescent="0.2">
      <c r="A75" t="s">
        <v>168</v>
      </c>
      <c r="B75">
        <v>74</v>
      </c>
      <c r="C75" t="s">
        <v>169</v>
      </c>
      <c r="D75" t="s">
        <v>165</v>
      </c>
      <c r="E75" t="s">
        <v>31</v>
      </c>
      <c r="F75">
        <v>2</v>
      </c>
      <c r="G75" s="7">
        <v>35.5</v>
      </c>
      <c r="H75" s="7">
        <v>2.6</v>
      </c>
      <c r="I75" s="7">
        <v>0.45</v>
      </c>
      <c r="J75" s="12">
        <v>0</v>
      </c>
      <c r="K75" s="7">
        <v>6.15</v>
      </c>
      <c r="L75" s="7">
        <v>3.15</v>
      </c>
      <c r="M75" s="7">
        <v>1.05</v>
      </c>
      <c r="N75" s="8">
        <v>0</v>
      </c>
      <c r="O75" s="7">
        <v>2804.5</v>
      </c>
      <c r="P75" s="7">
        <v>0.43500000000000011</v>
      </c>
      <c r="Q75" s="7">
        <v>0.23</v>
      </c>
      <c r="R75" s="7">
        <v>1.55</v>
      </c>
      <c r="S75" s="7">
        <v>20</v>
      </c>
      <c r="T75" s="7">
        <v>69.5</v>
      </c>
      <c r="U75" s="7">
        <v>0.215</v>
      </c>
      <c r="V75" s="7">
        <v>1.5</v>
      </c>
      <c r="W75" s="7">
        <v>31.5</v>
      </c>
      <c r="X75" s="7">
        <v>305.55</v>
      </c>
      <c r="Y75" s="7">
        <v>47.45</v>
      </c>
      <c r="Z75" s="7">
        <v>0.4</v>
      </c>
      <c r="AA75" s="7">
        <v>60</v>
      </c>
    </row>
    <row r="76" spans="1:27" x14ac:dyDescent="0.2">
      <c r="A76" t="s">
        <v>170</v>
      </c>
      <c r="B76">
        <v>75</v>
      </c>
      <c r="C76" t="s">
        <v>171</v>
      </c>
      <c r="D76" t="s">
        <v>165</v>
      </c>
      <c r="E76" t="s">
        <v>31</v>
      </c>
      <c r="F76">
        <v>2</v>
      </c>
      <c r="G76" s="7">
        <v>40</v>
      </c>
      <c r="H76" s="7">
        <v>1.95</v>
      </c>
      <c r="I76" s="7">
        <v>0.65</v>
      </c>
      <c r="J76" s="12">
        <v>0</v>
      </c>
      <c r="K76" s="7">
        <v>6.65</v>
      </c>
      <c r="L76" s="7">
        <v>2.65</v>
      </c>
      <c r="M76" s="7">
        <v>1.55</v>
      </c>
      <c r="N76" s="8">
        <v>0</v>
      </c>
      <c r="O76" s="7">
        <v>5022.5</v>
      </c>
      <c r="P76" s="7">
        <v>0.23</v>
      </c>
      <c r="Q76" s="7">
        <v>8.5000000000000006E-2</v>
      </c>
      <c r="R76" s="7">
        <v>0.25</v>
      </c>
      <c r="S76" s="7">
        <v>33</v>
      </c>
      <c r="T76" s="7">
        <v>73</v>
      </c>
      <c r="U76" s="7">
        <v>0.59499999999999997</v>
      </c>
      <c r="V76" s="7">
        <v>1.95</v>
      </c>
      <c r="W76" s="7">
        <v>40.5</v>
      </c>
      <c r="X76" s="7">
        <v>168.4</v>
      </c>
      <c r="Y76" s="7">
        <v>39.15</v>
      </c>
      <c r="Z76" s="7">
        <v>0.45</v>
      </c>
      <c r="AA76" s="7">
        <v>75</v>
      </c>
    </row>
    <row r="77" spans="1:27" x14ac:dyDescent="0.2">
      <c r="A77" t="s">
        <v>172</v>
      </c>
      <c r="B77">
        <v>76</v>
      </c>
      <c r="C77" t="s">
        <v>173</v>
      </c>
      <c r="D77" t="s">
        <v>165</v>
      </c>
      <c r="E77" t="s">
        <v>31</v>
      </c>
      <c r="F77">
        <v>1</v>
      </c>
      <c r="G77" s="7">
        <v>9</v>
      </c>
      <c r="H77" s="7">
        <v>1</v>
      </c>
      <c r="I77" s="7">
        <v>0.1</v>
      </c>
      <c r="J77" s="12">
        <v>0</v>
      </c>
      <c r="K77" s="7">
        <v>1.7</v>
      </c>
      <c r="L77" s="7">
        <v>0.8</v>
      </c>
      <c r="M77" s="7">
        <v>0.6</v>
      </c>
      <c r="N77" s="7">
        <v>0</v>
      </c>
      <c r="O77" s="7">
        <v>862</v>
      </c>
      <c r="P77" s="7">
        <v>0.05</v>
      </c>
      <c r="Q77" s="7">
        <v>0.18</v>
      </c>
      <c r="R77" s="7">
        <v>0.4</v>
      </c>
      <c r="S77" s="7">
        <v>3</v>
      </c>
      <c r="T77" s="7">
        <v>56</v>
      </c>
      <c r="U77" s="7">
        <v>0.05</v>
      </c>
      <c r="V77" s="7">
        <v>1.1000000000000001</v>
      </c>
      <c r="W77" s="7">
        <v>42</v>
      </c>
      <c r="X77" s="7">
        <v>193.1</v>
      </c>
      <c r="Y77" s="7">
        <v>5</v>
      </c>
      <c r="Z77" s="7">
        <v>0.1</v>
      </c>
      <c r="AA77" s="7">
        <v>79</v>
      </c>
    </row>
    <row r="78" spans="1:27" x14ac:dyDescent="0.2">
      <c r="A78" t="s">
        <v>174</v>
      </c>
      <c r="B78">
        <v>77</v>
      </c>
      <c r="C78" t="s">
        <v>175</v>
      </c>
      <c r="D78" t="s">
        <v>165</v>
      </c>
      <c r="E78" t="s">
        <v>31</v>
      </c>
      <c r="F78">
        <v>1</v>
      </c>
      <c r="G78" s="7">
        <v>26.4</v>
      </c>
      <c r="H78" s="7">
        <v>1.98</v>
      </c>
      <c r="I78" s="7">
        <v>0.4</v>
      </c>
      <c r="J78" s="12">
        <v>0</v>
      </c>
      <c r="K78" s="7">
        <v>3.92</v>
      </c>
      <c r="L78" s="7">
        <v>2.02</v>
      </c>
      <c r="M78" s="7">
        <v>1.08</v>
      </c>
      <c r="N78" s="7">
        <v>0</v>
      </c>
      <c r="O78" s="7">
        <v>1515.6</v>
      </c>
      <c r="P78" s="7">
        <v>0.14399999999999999</v>
      </c>
      <c r="Q78" s="7">
        <v>0.14599999999999999</v>
      </c>
      <c r="R78" s="7">
        <v>0.42</v>
      </c>
      <c r="S78" s="7">
        <v>37.200000000000003</v>
      </c>
      <c r="T78" s="7">
        <v>134.4</v>
      </c>
      <c r="U78" s="7">
        <v>0.104</v>
      </c>
      <c r="V78" s="7">
        <v>2.4</v>
      </c>
      <c r="W78" s="7">
        <v>52.6</v>
      </c>
      <c r="X78" s="7">
        <v>256.94</v>
      </c>
      <c r="Y78" s="7">
        <v>21.06</v>
      </c>
      <c r="Z78" s="7">
        <v>0.38</v>
      </c>
      <c r="AA78" s="7">
        <v>85.8</v>
      </c>
    </row>
    <row r="79" spans="1:27" x14ac:dyDescent="0.2">
      <c r="A79" t="s">
        <v>176</v>
      </c>
      <c r="B79">
        <v>78</v>
      </c>
      <c r="C79" t="s">
        <v>177</v>
      </c>
      <c r="D79" t="s">
        <v>165</v>
      </c>
      <c r="E79" t="s">
        <v>31</v>
      </c>
      <c r="F79">
        <v>1</v>
      </c>
      <c r="G79" s="7">
        <v>34</v>
      </c>
      <c r="H79" s="7">
        <v>2.4</v>
      </c>
      <c r="I79" s="7">
        <v>0.3</v>
      </c>
      <c r="J79" s="12">
        <v>0</v>
      </c>
      <c r="K79" s="7">
        <v>7.2</v>
      </c>
      <c r="L79" s="7">
        <v>1.9</v>
      </c>
      <c r="M79" s="7">
        <v>0.5</v>
      </c>
      <c r="N79" s="7">
        <v>0</v>
      </c>
      <c r="O79" s="7">
        <v>772</v>
      </c>
      <c r="P79" s="7">
        <v>0.05</v>
      </c>
      <c r="Q79" s="7">
        <v>0.4</v>
      </c>
      <c r="R79" s="7">
        <v>2.8</v>
      </c>
      <c r="S79" s="7">
        <v>11</v>
      </c>
      <c r="T79" s="7">
        <v>101</v>
      </c>
      <c r="U79" s="7">
        <v>7.0000000000000007E-2</v>
      </c>
      <c r="V79" s="7">
        <v>0.7</v>
      </c>
      <c r="W79" s="7">
        <v>42</v>
      </c>
      <c r="X79" s="7">
        <v>250</v>
      </c>
      <c r="Y79" s="7">
        <v>8</v>
      </c>
      <c r="Z79" s="7">
        <v>0.3</v>
      </c>
      <c r="AA79" s="7">
        <v>90</v>
      </c>
    </row>
    <row r="80" spans="1:27" x14ac:dyDescent="0.2">
      <c r="A80" t="s">
        <v>178</v>
      </c>
      <c r="B80">
        <v>79</v>
      </c>
      <c r="C80" t="s">
        <v>179</v>
      </c>
      <c r="D80" t="s">
        <v>165</v>
      </c>
      <c r="E80" t="s">
        <v>31</v>
      </c>
      <c r="F80">
        <v>1</v>
      </c>
      <c r="G80" s="7">
        <v>31</v>
      </c>
      <c r="H80" s="7">
        <v>2.2999999999999998</v>
      </c>
      <c r="I80" s="7">
        <v>0.1</v>
      </c>
      <c r="J80" s="12">
        <v>0</v>
      </c>
      <c r="K80" s="7">
        <v>5.3</v>
      </c>
      <c r="L80" s="7">
        <v>2.7</v>
      </c>
      <c r="M80" s="7">
        <v>0.5</v>
      </c>
      <c r="N80" s="7">
        <v>0</v>
      </c>
      <c r="O80" s="7">
        <v>125</v>
      </c>
      <c r="P80" s="7">
        <v>0.7</v>
      </c>
      <c r="Q80" s="7">
        <v>0.1</v>
      </c>
      <c r="R80" s="7">
        <v>0.3</v>
      </c>
      <c r="S80" s="7">
        <v>46</v>
      </c>
      <c r="T80" s="7">
        <v>60</v>
      </c>
      <c r="U80" s="7">
        <v>0.1</v>
      </c>
      <c r="V80" s="7">
        <v>0.6</v>
      </c>
      <c r="W80" s="7">
        <v>64</v>
      </c>
      <c r="X80" s="7">
        <v>213</v>
      </c>
      <c r="Y80" s="7">
        <v>30</v>
      </c>
      <c r="Z80" s="7">
        <v>0.5</v>
      </c>
      <c r="AA80" s="7">
        <v>92</v>
      </c>
    </row>
    <row r="81" spans="1:27" x14ac:dyDescent="0.2">
      <c r="A81" t="s">
        <v>180</v>
      </c>
      <c r="B81">
        <v>80</v>
      </c>
      <c r="C81" t="s">
        <v>181</v>
      </c>
      <c r="D81" t="s">
        <v>165</v>
      </c>
      <c r="E81" t="s">
        <v>31</v>
      </c>
      <c r="F81">
        <v>2</v>
      </c>
      <c r="G81" s="7">
        <v>22.666666666666671</v>
      </c>
      <c r="H81" s="7">
        <v>1.4333333333333329</v>
      </c>
      <c r="I81" s="7">
        <v>0.46666666666666667</v>
      </c>
      <c r="J81" s="12">
        <v>0</v>
      </c>
      <c r="K81" s="7">
        <v>3.833333333333333</v>
      </c>
      <c r="L81" s="7">
        <v>1.2333333333333329</v>
      </c>
      <c r="M81" s="7">
        <v>1.3</v>
      </c>
      <c r="N81" s="8">
        <v>0</v>
      </c>
      <c r="O81" s="7">
        <v>408.33333333333331</v>
      </c>
      <c r="P81" s="7">
        <v>0.06</v>
      </c>
      <c r="Q81" s="7">
        <v>4.6666666666666669E-2</v>
      </c>
      <c r="R81" s="7">
        <v>0.6</v>
      </c>
      <c r="S81" s="7">
        <v>24.666666666666671</v>
      </c>
      <c r="T81" s="7">
        <v>6.666666666666667</v>
      </c>
      <c r="U81" s="7">
        <v>9.0000000000000011E-2</v>
      </c>
      <c r="V81" s="7">
        <v>0.5</v>
      </c>
      <c r="W81" s="7">
        <v>39.666666666666657</v>
      </c>
      <c r="X81" s="7">
        <v>200.0333333333333</v>
      </c>
      <c r="Y81" s="7">
        <v>9.9666666666666686</v>
      </c>
      <c r="Z81" s="7">
        <v>0.16666666666666671</v>
      </c>
      <c r="AA81" s="7">
        <v>98.333333333333314</v>
      </c>
    </row>
    <row r="82" spans="1:27" x14ac:dyDescent="0.2">
      <c r="A82" t="s">
        <v>182</v>
      </c>
      <c r="B82">
        <v>81</v>
      </c>
      <c r="C82" t="s">
        <v>183</v>
      </c>
      <c r="D82" t="s">
        <v>165</v>
      </c>
      <c r="E82" t="s">
        <v>31</v>
      </c>
      <c r="F82">
        <v>2</v>
      </c>
      <c r="G82" s="7">
        <v>36</v>
      </c>
      <c r="H82" s="7">
        <v>1</v>
      </c>
      <c r="I82" s="7">
        <v>0.6</v>
      </c>
      <c r="J82" s="12">
        <v>0</v>
      </c>
      <c r="K82" s="7">
        <v>7.9</v>
      </c>
      <c r="L82" s="7">
        <v>1</v>
      </c>
      <c r="M82" s="7">
        <v>0.6</v>
      </c>
      <c r="N82" s="8">
        <v>0</v>
      </c>
      <c r="O82" s="7">
        <v>3784</v>
      </c>
      <c r="P82" s="7">
        <v>0.04</v>
      </c>
      <c r="Q82" s="7">
        <v>0.04</v>
      </c>
      <c r="R82" s="7">
        <v>1</v>
      </c>
      <c r="S82" s="7">
        <v>18</v>
      </c>
      <c r="T82" s="7">
        <v>45</v>
      </c>
      <c r="U82" s="7">
        <v>0.06</v>
      </c>
      <c r="V82" s="7">
        <v>1</v>
      </c>
      <c r="W82" s="7">
        <v>74</v>
      </c>
      <c r="X82" s="7">
        <v>245</v>
      </c>
      <c r="Y82" s="7">
        <v>70</v>
      </c>
      <c r="Z82" s="7">
        <v>0.3</v>
      </c>
      <c r="AA82" s="7">
        <v>80</v>
      </c>
    </row>
    <row r="83" spans="1:27" x14ac:dyDescent="0.2">
      <c r="A83" t="s">
        <v>184</v>
      </c>
      <c r="B83">
        <v>82</v>
      </c>
      <c r="C83" t="s">
        <v>185</v>
      </c>
      <c r="D83" t="s">
        <v>165</v>
      </c>
      <c r="E83" t="s">
        <v>31</v>
      </c>
      <c r="F83">
        <v>1</v>
      </c>
      <c r="G83" s="7">
        <v>9</v>
      </c>
      <c r="H83" s="7">
        <v>0.4</v>
      </c>
      <c r="I83" s="7">
        <v>0.16666666666666671</v>
      </c>
      <c r="J83" s="12">
        <v>0</v>
      </c>
      <c r="K83" s="7">
        <v>1.7666666666666671</v>
      </c>
      <c r="L83" s="7">
        <v>0.53333333333333333</v>
      </c>
      <c r="M83" s="7">
        <v>0.4</v>
      </c>
      <c r="N83" s="7">
        <v>0</v>
      </c>
      <c r="O83" s="7">
        <v>20.666666666666671</v>
      </c>
      <c r="P83" s="7">
        <v>1.6666666666666659E-2</v>
      </c>
      <c r="Q83" s="7">
        <v>2.3333333333333331E-2</v>
      </c>
      <c r="R83" s="7">
        <v>0.1</v>
      </c>
      <c r="S83" s="7">
        <v>3</v>
      </c>
      <c r="T83" s="7">
        <v>21.333333333333329</v>
      </c>
      <c r="U83" s="7">
        <v>2.3333333333333331E-2</v>
      </c>
      <c r="V83" s="7">
        <v>0.8</v>
      </c>
      <c r="W83" s="7">
        <v>98.333333333333314</v>
      </c>
      <c r="X83" s="7">
        <v>72.7</v>
      </c>
      <c r="Y83" s="7">
        <v>4.5999999999999996</v>
      </c>
      <c r="Z83" s="7">
        <v>0.1</v>
      </c>
      <c r="AA83" s="7">
        <v>75.333333333333329</v>
      </c>
    </row>
    <row r="84" spans="1:27" x14ac:dyDescent="0.2">
      <c r="A84" t="s">
        <v>186</v>
      </c>
      <c r="B84">
        <v>83</v>
      </c>
      <c r="C84" t="s">
        <v>187</v>
      </c>
      <c r="D84" t="s">
        <v>165</v>
      </c>
      <c r="E84" t="s">
        <v>31</v>
      </c>
      <c r="F84">
        <v>1</v>
      </c>
      <c r="G84" s="7">
        <v>79.5</v>
      </c>
      <c r="H84" s="7">
        <v>7.85</v>
      </c>
      <c r="I84" s="7">
        <v>1.0249999999999999</v>
      </c>
      <c r="J84" s="12">
        <v>0</v>
      </c>
      <c r="K84" s="7">
        <v>12.525</v>
      </c>
      <c r="L84" s="7">
        <v>4.8999999999999986</v>
      </c>
      <c r="M84" s="7">
        <v>1.625</v>
      </c>
      <c r="N84" s="7">
        <v>0</v>
      </c>
      <c r="O84" s="7">
        <v>5907.5</v>
      </c>
      <c r="P84" s="7">
        <v>0.3125</v>
      </c>
      <c r="Q84" s="7">
        <v>0.42499999999999999</v>
      </c>
      <c r="R84" s="7">
        <v>2.375</v>
      </c>
      <c r="S84" s="7">
        <v>159.25</v>
      </c>
      <c r="T84" s="7">
        <v>206.25</v>
      </c>
      <c r="U84" s="7">
        <v>0.17499999999999999</v>
      </c>
      <c r="V84" s="7">
        <v>2.4</v>
      </c>
      <c r="W84" s="7">
        <v>97.75</v>
      </c>
      <c r="X84" s="7">
        <v>259.32499999999999</v>
      </c>
      <c r="Y84" s="7">
        <v>35.475000000000001</v>
      </c>
      <c r="Z84" s="7">
        <v>2.5499999999999998</v>
      </c>
      <c r="AA84" s="7">
        <v>87</v>
      </c>
    </row>
    <row r="85" spans="1:27" x14ac:dyDescent="0.2">
      <c r="A85" t="s">
        <v>188</v>
      </c>
      <c r="B85">
        <v>84</v>
      </c>
      <c r="C85" t="s">
        <v>189</v>
      </c>
      <c r="D85" t="s">
        <v>165</v>
      </c>
      <c r="E85" t="s">
        <v>31</v>
      </c>
      <c r="F85">
        <v>1</v>
      </c>
      <c r="G85" s="7">
        <v>39.833333333333343</v>
      </c>
      <c r="H85" s="7">
        <v>1.716666666666667</v>
      </c>
      <c r="I85" s="7">
        <v>0.5</v>
      </c>
      <c r="J85" s="12">
        <v>0</v>
      </c>
      <c r="K85" s="7">
        <v>7.4</v>
      </c>
      <c r="L85" s="7">
        <v>2.583333333333333</v>
      </c>
      <c r="M85" s="7">
        <v>0.73333333333333339</v>
      </c>
      <c r="N85" s="7">
        <v>0</v>
      </c>
      <c r="O85" s="7">
        <v>172.6</v>
      </c>
      <c r="P85" s="7">
        <v>0.20666666666666669</v>
      </c>
      <c r="Q85" s="7">
        <v>0.115</v>
      </c>
      <c r="R85" s="7">
        <v>0.4</v>
      </c>
      <c r="S85" s="7">
        <v>6.5</v>
      </c>
      <c r="T85" s="7">
        <v>20</v>
      </c>
      <c r="U85" s="7">
        <v>0.25</v>
      </c>
      <c r="V85" s="7">
        <v>0.96666666666666679</v>
      </c>
      <c r="W85" s="7">
        <v>77.833333333333343</v>
      </c>
      <c r="X85" s="7">
        <v>134.42500000000001</v>
      </c>
      <c r="Y85" s="7">
        <v>40.28</v>
      </c>
      <c r="Z85" s="7">
        <v>0.36</v>
      </c>
      <c r="AA85" s="7">
        <v>100</v>
      </c>
    </row>
    <row r="86" spans="1:27" x14ac:dyDescent="0.2">
      <c r="A86" t="s">
        <v>190</v>
      </c>
      <c r="B86">
        <v>85</v>
      </c>
      <c r="C86" t="s">
        <v>191</v>
      </c>
      <c r="D86" t="s">
        <v>165</v>
      </c>
      <c r="E86" t="s">
        <v>31</v>
      </c>
      <c r="F86">
        <v>1</v>
      </c>
      <c r="G86" s="7">
        <v>46.75</v>
      </c>
      <c r="H86" s="7">
        <v>5.5250000000000004</v>
      </c>
      <c r="I86" s="7">
        <v>1.125</v>
      </c>
      <c r="J86" s="12">
        <v>0</v>
      </c>
      <c r="K86" s="7">
        <v>5.0750000000000002</v>
      </c>
      <c r="L86" s="7">
        <v>1.5249999999999999</v>
      </c>
      <c r="M86" s="7">
        <v>0.77500000000000002</v>
      </c>
      <c r="N86" s="7">
        <v>0</v>
      </c>
      <c r="O86" s="7">
        <v>85</v>
      </c>
      <c r="P86" s="7">
        <v>0.10249999999999999</v>
      </c>
      <c r="Q86" s="7">
        <v>0.1275</v>
      </c>
      <c r="R86" s="7">
        <v>0.92500000000000004</v>
      </c>
      <c r="S86" s="7">
        <v>20.25</v>
      </c>
      <c r="T86" s="7">
        <v>80.75</v>
      </c>
      <c r="U86" s="7">
        <v>0.16250000000000001</v>
      </c>
      <c r="V86" s="7">
        <v>1.2</v>
      </c>
      <c r="W86" s="7">
        <v>118.75</v>
      </c>
      <c r="X86" s="7">
        <v>159.375</v>
      </c>
      <c r="Y86" s="7">
        <v>7</v>
      </c>
      <c r="Z86" s="7">
        <v>0.5</v>
      </c>
      <c r="AA86" s="7">
        <v>95</v>
      </c>
    </row>
    <row r="87" spans="1:27" x14ac:dyDescent="0.2">
      <c r="A87" t="s">
        <v>192</v>
      </c>
      <c r="B87">
        <v>86</v>
      </c>
      <c r="C87" t="s">
        <v>193</v>
      </c>
      <c r="D87" t="s">
        <v>165</v>
      </c>
      <c r="E87" t="s">
        <v>31</v>
      </c>
      <c r="F87">
        <v>2</v>
      </c>
      <c r="G87" s="7">
        <v>33</v>
      </c>
      <c r="H87" s="7">
        <v>1</v>
      </c>
      <c r="I87" s="7">
        <v>0.22500000000000001</v>
      </c>
      <c r="J87" s="12">
        <v>0</v>
      </c>
      <c r="K87" s="7">
        <v>6.7750000000000004</v>
      </c>
      <c r="L87" s="7">
        <v>2.5</v>
      </c>
      <c r="M87" s="7">
        <v>0.72499999999999998</v>
      </c>
      <c r="N87" s="8">
        <v>0</v>
      </c>
      <c r="O87" s="7">
        <v>585</v>
      </c>
      <c r="P87" s="7">
        <v>8.5000000000000006E-2</v>
      </c>
      <c r="Q87" s="7">
        <v>3.4999999999999989E-2</v>
      </c>
      <c r="R87" s="7">
        <v>0.42499999999999999</v>
      </c>
      <c r="S87" s="7">
        <v>20.5</v>
      </c>
      <c r="T87" s="7">
        <v>27.75</v>
      </c>
      <c r="U87" s="7">
        <v>0.16750000000000001</v>
      </c>
      <c r="V87" s="7">
        <v>0.79999999999999993</v>
      </c>
      <c r="W87" s="7">
        <v>71.75</v>
      </c>
      <c r="X87" s="7">
        <v>227.875</v>
      </c>
      <c r="Y87" s="7">
        <v>71.474999999999994</v>
      </c>
      <c r="Z87" s="7">
        <v>0.9</v>
      </c>
      <c r="AA87" s="7">
        <v>78.5</v>
      </c>
    </row>
    <row r="88" spans="1:27" x14ac:dyDescent="0.2">
      <c r="A88" t="s">
        <v>194</v>
      </c>
      <c r="B88">
        <v>87</v>
      </c>
      <c r="C88" t="s">
        <v>195</v>
      </c>
      <c r="D88" t="s">
        <v>165</v>
      </c>
      <c r="E88" t="s">
        <v>31</v>
      </c>
      <c r="F88">
        <v>21</v>
      </c>
      <c r="G88" s="8">
        <v>47.06</v>
      </c>
      <c r="H88" s="8">
        <v>1.915</v>
      </c>
      <c r="I88" s="8">
        <v>0.97000000000000008</v>
      </c>
      <c r="J88" s="12">
        <v>0</v>
      </c>
      <c r="K88" s="8">
        <v>8.4769999999999985</v>
      </c>
      <c r="L88" s="8">
        <v>1.7949999999999999</v>
      </c>
      <c r="M88" s="8">
        <v>1.099</v>
      </c>
      <c r="N88" s="8">
        <v>0</v>
      </c>
      <c r="O88" s="8">
        <v>3775.3900000000008</v>
      </c>
      <c r="P88" s="8">
        <v>0.14319999999999999</v>
      </c>
      <c r="Q88" s="8">
        <v>0.13389999999999999</v>
      </c>
      <c r="R88" s="8">
        <v>0.95000000000000007</v>
      </c>
      <c r="S88" s="8">
        <v>14.19</v>
      </c>
      <c r="T88" s="8">
        <v>75.949999999999989</v>
      </c>
      <c r="U88" s="8">
        <v>0.32460000000000011</v>
      </c>
      <c r="V88" s="8">
        <v>1.79</v>
      </c>
      <c r="W88" s="8">
        <v>57.919999999999987</v>
      </c>
      <c r="X88" s="8">
        <v>209.23400000000001</v>
      </c>
      <c r="Y88" s="8">
        <v>39.285000000000011</v>
      </c>
      <c r="Z88" s="8">
        <v>0.38500000000000001</v>
      </c>
      <c r="AA88" s="8">
        <v>79.500000000000014</v>
      </c>
    </row>
    <row r="89" spans="1:27" x14ac:dyDescent="0.2">
      <c r="A89" t="s">
        <v>196</v>
      </c>
      <c r="B89">
        <v>88</v>
      </c>
      <c r="C89" t="s">
        <v>197</v>
      </c>
      <c r="D89" t="s">
        <v>165</v>
      </c>
      <c r="E89" t="s">
        <v>31</v>
      </c>
      <c r="F89">
        <v>21</v>
      </c>
      <c r="G89" s="8">
        <v>87.440000000000012</v>
      </c>
      <c r="H89" s="8">
        <v>3.3149999999999991</v>
      </c>
      <c r="I89" s="8">
        <v>4.4689999999999994</v>
      </c>
      <c r="J89" s="12">
        <v>0</v>
      </c>
      <c r="K89" s="8">
        <v>9.4980000000000011</v>
      </c>
      <c r="L89" s="8">
        <v>3.543000000000001</v>
      </c>
      <c r="M89" s="8">
        <v>0.91500000000000026</v>
      </c>
      <c r="N89" s="8">
        <v>0</v>
      </c>
      <c r="O89" s="8">
        <v>222.28</v>
      </c>
      <c r="P89" s="8">
        <v>0.23669999999999999</v>
      </c>
      <c r="Q89" s="8">
        <v>8.0700000000000008E-2</v>
      </c>
      <c r="R89" s="8">
        <v>0.67800000000000005</v>
      </c>
      <c r="S89" s="8">
        <v>18.88</v>
      </c>
      <c r="T89" s="8">
        <v>49.73</v>
      </c>
      <c r="U89" s="8">
        <v>0.1991</v>
      </c>
      <c r="V89" s="8">
        <v>1.454</v>
      </c>
      <c r="W89" s="8">
        <v>77.830000000000027</v>
      </c>
      <c r="X89" s="8">
        <v>260.63299999999998</v>
      </c>
      <c r="Y89" s="8">
        <v>69.077999999999989</v>
      </c>
      <c r="Z89" s="8">
        <v>0.66800000000000015</v>
      </c>
      <c r="AA89" s="8">
        <v>90.92</v>
      </c>
    </row>
    <row r="90" spans="1:27" x14ac:dyDescent="0.2">
      <c r="A90" t="s">
        <v>198</v>
      </c>
      <c r="B90">
        <v>89</v>
      </c>
      <c r="C90" t="s">
        <v>199</v>
      </c>
      <c r="D90" t="s">
        <v>165</v>
      </c>
      <c r="E90" t="s">
        <v>31</v>
      </c>
      <c r="F90">
        <v>2</v>
      </c>
      <c r="G90" s="7">
        <v>57</v>
      </c>
      <c r="H90" s="7">
        <v>2</v>
      </c>
      <c r="I90" s="7">
        <v>0.4</v>
      </c>
      <c r="J90" s="12">
        <v>0</v>
      </c>
      <c r="K90" s="7">
        <v>11.3</v>
      </c>
      <c r="L90" s="7">
        <v>8.3000000000000007</v>
      </c>
      <c r="M90" s="7">
        <v>0.9</v>
      </c>
      <c r="N90" s="8">
        <v>0</v>
      </c>
      <c r="O90" s="7">
        <v>21</v>
      </c>
      <c r="P90" s="7">
        <v>7.0000000000000007E-2</v>
      </c>
      <c r="Q90" s="7">
        <v>0.06</v>
      </c>
      <c r="R90" s="7">
        <v>0.7</v>
      </c>
      <c r="S90" s="7">
        <v>9</v>
      </c>
      <c r="T90" s="7">
        <v>45</v>
      </c>
      <c r="U90" s="7">
        <v>0.04</v>
      </c>
      <c r="V90" s="7">
        <v>0.5</v>
      </c>
      <c r="W90" s="7">
        <v>29</v>
      </c>
      <c r="X90" s="7">
        <v>246.5</v>
      </c>
      <c r="Y90" s="7">
        <v>1.1000000000000001</v>
      </c>
      <c r="Z90" s="7">
        <v>0.1</v>
      </c>
      <c r="AA90" s="7">
        <v>80</v>
      </c>
    </row>
    <row r="91" spans="1:27" x14ac:dyDescent="0.2">
      <c r="A91" t="s">
        <v>200</v>
      </c>
      <c r="B91">
        <v>90</v>
      </c>
      <c r="C91" t="s">
        <v>201</v>
      </c>
      <c r="D91" t="s">
        <v>165</v>
      </c>
      <c r="E91" t="s">
        <v>31</v>
      </c>
      <c r="F91">
        <v>2</v>
      </c>
      <c r="G91" s="7">
        <v>29</v>
      </c>
      <c r="H91" s="7">
        <v>2.1</v>
      </c>
      <c r="I91" s="7">
        <v>0.1</v>
      </c>
      <c r="J91" s="12">
        <v>0</v>
      </c>
      <c r="K91" s="7">
        <v>4.9000000000000004</v>
      </c>
      <c r="L91" s="7">
        <v>2.1</v>
      </c>
      <c r="M91" s="7">
        <v>0.6</v>
      </c>
      <c r="N91" s="8">
        <v>0</v>
      </c>
      <c r="O91" s="7">
        <v>0</v>
      </c>
      <c r="P91" s="7">
        <v>0.02</v>
      </c>
      <c r="Q91" s="7">
        <v>0.03</v>
      </c>
      <c r="R91" s="7">
        <v>0.3</v>
      </c>
      <c r="S91" s="7">
        <v>19</v>
      </c>
      <c r="T91" s="7">
        <v>50</v>
      </c>
      <c r="U91" s="7">
        <v>0.01</v>
      </c>
      <c r="V91" s="7">
        <v>0.4</v>
      </c>
      <c r="W91" s="7">
        <v>16</v>
      </c>
      <c r="X91" s="7">
        <v>211.2</v>
      </c>
      <c r="Y91" s="7">
        <v>21.9</v>
      </c>
      <c r="Z91" s="7">
        <v>0</v>
      </c>
      <c r="AA91" s="7">
        <v>65</v>
      </c>
    </row>
    <row r="92" spans="1:27" x14ac:dyDescent="0.2">
      <c r="A92" t="s">
        <v>202</v>
      </c>
      <c r="B92">
        <v>91</v>
      </c>
      <c r="C92" t="s">
        <v>203</v>
      </c>
      <c r="D92" t="s">
        <v>165</v>
      </c>
      <c r="E92" t="s">
        <v>31</v>
      </c>
      <c r="F92">
        <v>3</v>
      </c>
      <c r="G92" s="7">
        <v>192</v>
      </c>
      <c r="H92" s="7">
        <v>5.4</v>
      </c>
      <c r="I92" s="7">
        <v>0.3</v>
      </c>
      <c r="J92" s="12">
        <v>0</v>
      </c>
      <c r="K92" s="7">
        <v>40.700000000000003</v>
      </c>
      <c r="L92" s="7">
        <v>1.5</v>
      </c>
      <c r="M92" s="7">
        <v>0.9</v>
      </c>
      <c r="N92" s="8">
        <v>0</v>
      </c>
      <c r="O92" s="8">
        <v>373</v>
      </c>
      <c r="P92" s="7">
        <v>0.05</v>
      </c>
      <c r="Q92" s="7">
        <v>0.2</v>
      </c>
      <c r="R92" s="7">
        <v>0.5</v>
      </c>
      <c r="S92" s="7">
        <v>31</v>
      </c>
      <c r="T92" s="7">
        <v>4</v>
      </c>
      <c r="U92" s="7">
        <v>0.3</v>
      </c>
      <c r="V92" s="7">
        <v>0.7</v>
      </c>
      <c r="W92" s="7">
        <v>150</v>
      </c>
      <c r="X92" s="7">
        <v>241</v>
      </c>
      <c r="Y92" s="7">
        <v>60</v>
      </c>
      <c r="Z92" s="7">
        <v>0.6</v>
      </c>
      <c r="AA92" s="7">
        <v>95</v>
      </c>
    </row>
    <row r="93" spans="1:27" x14ac:dyDescent="0.2">
      <c r="A93" t="s">
        <v>204</v>
      </c>
      <c r="B93">
        <v>92</v>
      </c>
      <c r="C93" t="s">
        <v>205</v>
      </c>
      <c r="D93" t="s">
        <v>165</v>
      </c>
      <c r="E93" t="s">
        <v>31</v>
      </c>
      <c r="F93">
        <v>2</v>
      </c>
      <c r="G93" s="7">
        <v>46</v>
      </c>
      <c r="H93" s="7">
        <v>1.5</v>
      </c>
      <c r="I93" s="7">
        <v>0.3</v>
      </c>
      <c r="J93" s="12">
        <v>0</v>
      </c>
      <c r="K93" s="7">
        <v>9.1999999999999993</v>
      </c>
      <c r="L93" s="7">
        <v>1.7</v>
      </c>
      <c r="M93" s="7">
        <v>1</v>
      </c>
      <c r="N93" s="8">
        <v>0</v>
      </c>
      <c r="O93" s="7">
        <v>2</v>
      </c>
      <c r="P93" s="7">
        <v>0.03</v>
      </c>
      <c r="Q93" s="7">
        <v>0.04</v>
      </c>
      <c r="R93" s="7">
        <v>0.2</v>
      </c>
      <c r="S93" s="7">
        <v>2</v>
      </c>
      <c r="T93" s="7">
        <v>36</v>
      </c>
      <c r="U93" s="7">
        <v>0.06</v>
      </c>
      <c r="V93" s="7">
        <v>0.8</v>
      </c>
      <c r="W93" s="7">
        <v>40</v>
      </c>
      <c r="X93" s="7">
        <v>178.6</v>
      </c>
      <c r="Y93" s="7">
        <v>7</v>
      </c>
      <c r="Z93" s="7">
        <v>0.2</v>
      </c>
      <c r="AA93" s="7">
        <v>90</v>
      </c>
    </row>
    <row r="94" spans="1:27" x14ac:dyDescent="0.2">
      <c r="A94" t="s">
        <v>206</v>
      </c>
      <c r="B94">
        <v>93</v>
      </c>
      <c r="C94" t="s">
        <v>207</v>
      </c>
      <c r="D94" t="s">
        <v>165</v>
      </c>
      <c r="E94" t="s">
        <v>31</v>
      </c>
      <c r="F94">
        <v>2</v>
      </c>
      <c r="G94" s="7">
        <v>112</v>
      </c>
      <c r="H94" s="7">
        <v>4.5</v>
      </c>
      <c r="I94" s="7">
        <v>0.2</v>
      </c>
      <c r="J94" s="12">
        <v>0</v>
      </c>
      <c r="K94" s="7">
        <v>23.1</v>
      </c>
      <c r="L94" s="7">
        <v>0.6</v>
      </c>
      <c r="M94" s="7">
        <v>1.8</v>
      </c>
      <c r="N94" s="8">
        <v>0</v>
      </c>
      <c r="O94" s="7">
        <v>0</v>
      </c>
      <c r="P94" s="7">
        <v>0.22</v>
      </c>
      <c r="Q94" s="7">
        <v>7.0000000000000007E-2</v>
      </c>
      <c r="R94" s="7">
        <v>0.3</v>
      </c>
      <c r="S94" s="7">
        <v>15</v>
      </c>
      <c r="T94" s="7">
        <v>42</v>
      </c>
      <c r="U94" s="7">
        <v>0.09</v>
      </c>
      <c r="V94" s="7">
        <v>1</v>
      </c>
      <c r="W94" s="7">
        <v>134</v>
      </c>
      <c r="X94" s="7">
        <v>665.7</v>
      </c>
      <c r="Y94" s="7">
        <v>46</v>
      </c>
      <c r="Z94" s="7">
        <v>0.4</v>
      </c>
      <c r="AA94" s="7">
        <v>88</v>
      </c>
    </row>
    <row r="95" spans="1:27" x14ac:dyDescent="0.2">
      <c r="A95" t="s">
        <v>208</v>
      </c>
      <c r="B95">
        <v>94</v>
      </c>
      <c r="C95" t="s">
        <v>209</v>
      </c>
      <c r="D95" t="s">
        <v>165</v>
      </c>
      <c r="E95" t="s">
        <v>31</v>
      </c>
      <c r="F95">
        <v>2</v>
      </c>
      <c r="G95" s="7">
        <v>36</v>
      </c>
      <c r="H95" s="7">
        <v>1</v>
      </c>
      <c r="I95" s="7">
        <v>0.3</v>
      </c>
      <c r="J95" s="12">
        <v>0</v>
      </c>
      <c r="K95" s="7">
        <v>7.3</v>
      </c>
      <c r="L95" s="7">
        <v>1.4</v>
      </c>
      <c r="M95" s="7">
        <v>0.5</v>
      </c>
      <c r="N95" s="8">
        <v>0</v>
      </c>
      <c r="O95" s="7">
        <v>5833</v>
      </c>
      <c r="P95" s="7">
        <v>0.05</v>
      </c>
      <c r="Q95" s="7">
        <v>0.09</v>
      </c>
      <c r="R95" s="7">
        <v>3</v>
      </c>
      <c r="S95" s="7">
        <v>18</v>
      </c>
      <c r="T95" s="7">
        <v>29</v>
      </c>
      <c r="U95" s="7">
        <v>0.12</v>
      </c>
      <c r="V95" s="7">
        <v>0.5</v>
      </c>
      <c r="W95" s="7">
        <v>24</v>
      </c>
      <c r="X95" s="7">
        <v>272.39999999999998</v>
      </c>
      <c r="Y95" s="7">
        <v>23</v>
      </c>
      <c r="Z95" s="7">
        <v>0.2</v>
      </c>
      <c r="AA95" s="7">
        <v>85</v>
      </c>
    </row>
    <row r="96" spans="1:27" x14ac:dyDescent="0.2">
      <c r="A96" t="s">
        <v>210</v>
      </c>
      <c r="B96">
        <v>95</v>
      </c>
      <c r="C96" t="s">
        <v>211</v>
      </c>
      <c r="D96" t="s">
        <v>165</v>
      </c>
      <c r="E96" t="s">
        <v>31</v>
      </c>
      <c r="F96">
        <v>2</v>
      </c>
      <c r="G96" s="7">
        <v>26</v>
      </c>
      <c r="H96" s="7">
        <v>0.7</v>
      </c>
      <c r="I96" s="7">
        <v>0.3</v>
      </c>
      <c r="J96" s="12">
        <v>0</v>
      </c>
      <c r="K96" s="7">
        <v>5.2</v>
      </c>
      <c r="L96" s="7">
        <v>2.6</v>
      </c>
      <c r="M96" s="7">
        <v>0.4</v>
      </c>
      <c r="N96" s="8">
        <v>0</v>
      </c>
      <c r="O96" s="7">
        <v>44</v>
      </c>
      <c r="P96" s="7">
        <v>0.05</v>
      </c>
      <c r="Q96" s="7">
        <v>0.06</v>
      </c>
      <c r="R96" s="7">
        <v>0.4</v>
      </c>
      <c r="S96" s="7">
        <v>84</v>
      </c>
      <c r="T96" s="7">
        <v>14</v>
      </c>
      <c r="U96" s="7">
        <v>0.08</v>
      </c>
      <c r="V96" s="7">
        <v>0.4</v>
      </c>
      <c r="W96" s="7">
        <v>23</v>
      </c>
      <c r="X96" s="7">
        <v>151</v>
      </c>
      <c r="Y96" s="7">
        <v>7</v>
      </c>
      <c r="Z96" s="7">
        <v>0.2</v>
      </c>
      <c r="AA96" s="7">
        <v>82</v>
      </c>
    </row>
    <row r="97" spans="1:27" x14ac:dyDescent="0.2">
      <c r="A97" t="s">
        <v>212</v>
      </c>
      <c r="B97">
        <v>96</v>
      </c>
      <c r="C97" t="s">
        <v>213</v>
      </c>
      <c r="D97" t="s">
        <v>165</v>
      </c>
      <c r="E97" t="s">
        <v>31</v>
      </c>
      <c r="F97">
        <v>2</v>
      </c>
      <c r="G97" s="7">
        <v>120</v>
      </c>
      <c r="H97" s="7">
        <v>4.7</v>
      </c>
      <c r="I97" s="7">
        <v>2.4</v>
      </c>
      <c r="J97" s="12">
        <v>0</v>
      </c>
      <c r="K97" s="7">
        <v>19.899999999999999</v>
      </c>
      <c r="L97" s="7">
        <v>15.2</v>
      </c>
      <c r="M97" s="7">
        <v>1.8</v>
      </c>
      <c r="N97" s="8">
        <v>0</v>
      </c>
      <c r="O97" s="7">
        <v>1694</v>
      </c>
      <c r="P97" s="7">
        <v>0.24</v>
      </c>
      <c r="Q97" s="7">
        <v>0.09</v>
      </c>
      <c r="R97" s="7">
        <v>1.7</v>
      </c>
      <c r="S97" s="7">
        <v>70</v>
      </c>
      <c r="T97" s="7">
        <v>45</v>
      </c>
      <c r="U97" s="7">
        <v>0.28999999999999998</v>
      </c>
      <c r="V97" s="7">
        <v>2.5</v>
      </c>
      <c r="W97" s="7">
        <v>85</v>
      </c>
      <c r="X97" s="7">
        <v>706.2</v>
      </c>
      <c r="Y97" s="7">
        <v>34</v>
      </c>
      <c r="Z97" s="7">
        <v>0.6</v>
      </c>
      <c r="AA97" s="7">
        <v>85</v>
      </c>
    </row>
    <row r="98" spans="1:27" x14ac:dyDescent="0.2">
      <c r="A98" t="s">
        <v>214</v>
      </c>
      <c r="B98">
        <v>97</v>
      </c>
      <c r="C98" t="s">
        <v>215</v>
      </c>
      <c r="D98" t="s">
        <v>165</v>
      </c>
      <c r="E98" t="s">
        <v>31</v>
      </c>
      <c r="F98">
        <v>1</v>
      </c>
      <c r="G98" s="7">
        <v>57.37903225806452</v>
      </c>
      <c r="H98" s="7">
        <v>3.193548387096774</v>
      </c>
      <c r="I98" s="7">
        <v>0.65080645161290329</v>
      </c>
      <c r="J98" s="12">
        <v>0</v>
      </c>
      <c r="K98" s="7">
        <v>10.409677419354839</v>
      </c>
      <c r="L98" s="7">
        <v>3.9217391304347831</v>
      </c>
      <c r="M98" s="7">
        <v>1.3959677419354839</v>
      </c>
      <c r="N98" s="7">
        <v>0</v>
      </c>
      <c r="O98" s="7">
        <v>1877.693069306931</v>
      </c>
      <c r="P98" s="7">
        <v>0.19580645161290319</v>
      </c>
      <c r="Q98" s="7">
        <v>0.19068627450980391</v>
      </c>
      <c r="R98" s="7">
        <v>1.3443298969072159</v>
      </c>
      <c r="S98" s="7">
        <v>26.892561983471079</v>
      </c>
      <c r="T98" s="7">
        <v>137.10483870967741</v>
      </c>
      <c r="U98" s="7">
        <v>11.08958333333333</v>
      </c>
      <c r="V98" s="7">
        <v>3.0447154471544722</v>
      </c>
      <c r="W98" s="7">
        <v>83.491935483870961</v>
      </c>
      <c r="X98" s="7">
        <v>335.30792079207919</v>
      </c>
      <c r="Y98" s="7">
        <v>36.448076923076933</v>
      </c>
      <c r="Z98" s="7">
        <v>0.72210526315789469</v>
      </c>
      <c r="AA98" s="7">
        <v>75.234188034188037</v>
      </c>
    </row>
    <row r="99" spans="1:27" x14ac:dyDescent="0.2">
      <c r="B99">
        <v>98</v>
      </c>
      <c r="C99" t="s">
        <v>216</v>
      </c>
      <c r="D99" t="s">
        <v>216</v>
      </c>
      <c r="E99" t="s">
        <v>28</v>
      </c>
      <c r="F99">
        <v>0</v>
      </c>
      <c r="G99" s="7"/>
      <c r="H99" s="7"/>
      <c r="I99" s="7"/>
      <c r="J99" s="7"/>
      <c r="K99" s="7"/>
      <c r="L99" s="7"/>
      <c r="M99" s="7"/>
      <c r="N99" s="7"/>
      <c r="O99" s="7"/>
      <c r="P99" s="7"/>
      <c r="Q99" s="7"/>
      <c r="R99" s="7"/>
      <c r="S99" s="7"/>
      <c r="T99" s="7"/>
      <c r="U99" s="7"/>
      <c r="V99" s="7"/>
      <c r="W99" s="7"/>
      <c r="X99" s="7"/>
      <c r="Y99" s="7"/>
      <c r="Z99" s="7"/>
      <c r="AA99" s="7"/>
    </row>
    <row r="100" spans="1:27" x14ac:dyDescent="0.2">
      <c r="A100" t="s">
        <v>217</v>
      </c>
      <c r="B100">
        <v>99</v>
      </c>
      <c r="C100" t="s">
        <v>218</v>
      </c>
      <c r="D100" t="s">
        <v>216</v>
      </c>
      <c r="E100" t="s">
        <v>31</v>
      </c>
      <c r="F100">
        <v>1</v>
      </c>
      <c r="G100" s="7">
        <v>559</v>
      </c>
      <c r="H100" s="7">
        <v>26.9</v>
      </c>
      <c r="I100" s="7">
        <v>44.2</v>
      </c>
      <c r="J100" s="12">
        <v>0</v>
      </c>
      <c r="K100" s="7">
        <v>23.6</v>
      </c>
      <c r="L100" s="7">
        <v>2.6</v>
      </c>
      <c r="M100" s="7">
        <v>2.7</v>
      </c>
      <c r="N100" s="7">
        <v>0</v>
      </c>
      <c r="O100" s="7">
        <v>0</v>
      </c>
      <c r="P100" s="7">
        <v>0.3</v>
      </c>
      <c r="Q100" s="7">
        <v>29.47</v>
      </c>
      <c r="R100" s="7">
        <v>8</v>
      </c>
      <c r="S100" s="7">
        <v>0</v>
      </c>
      <c r="T100" s="7">
        <v>74</v>
      </c>
      <c r="U100" s="7">
        <v>520.4</v>
      </c>
      <c r="V100" s="7">
        <v>1.9</v>
      </c>
      <c r="W100" s="7">
        <v>393</v>
      </c>
      <c r="X100" s="7">
        <v>202.3</v>
      </c>
      <c r="Y100" s="7">
        <v>33</v>
      </c>
      <c r="Z100" s="7">
        <v>1.7</v>
      </c>
      <c r="AA100" s="7">
        <v>100</v>
      </c>
    </row>
    <row r="101" spans="1:27" x14ac:dyDescent="0.2">
      <c r="A101" t="s">
        <v>219</v>
      </c>
      <c r="B101">
        <v>100</v>
      </c>
      <c r="C101" t="s">
        <v>220</v>
      </c>
      <c r="D101" t="s">
        <v>216</v>
      </c>
      <c r="E101" t="s">
        <v>31</v>
      </c>
      <c r="F101">
        <v>3</v>
      </c>
      <c r="G101" s="7">
        <v>340.66666666666669</v>
      </c>
      <c r="H101" s="7">
        <v>29.2</v>
      </c>
      <c r="I101" s="7">
        <v>11.6</v>
      </c>
      <c r="J101" s="12">
        <v>0</v>
      </c>
      <c r="K101" s="7">
        <v>40.333333333333343</v>
      </c>
      <c r="L101" s="7">
        <v>7.0666666666666673</v>
      </c>
      <c r="M101" s="7">
        <v>4.1333333333333329</v>
      </c>
      <c r="N101" s="8">
        <v>0</v>
      </c>
      <c r="O101" s="7">
        <v>147.5</v>
      </c>
      <c r="P101" s="7">
        <v>0.64</v>
      </c>
      <c r="Q101" s="7">
        <v>0.15333333333333329</v>
      </c>
      <c r="R101" s="7">
        <v>1.6333333333333331</v>
      </c>
      <c r="S101" s="8">
        <v>6</v>
      </c>
      <c r="T101" s="7">
        <v>186</v>
      </c>
      <c r="U101" s="7">
        <v>1.1733333333333329</v>
      </c>
      <c r="V101" s="7">
        <v>7.5666666666666664</v>
      </c>
      <c r="W101" s="7">
        <v>469.33333333333331</v>
      </c>
      <c r="X101" s="7">
        <v>528.1</v>
      </c>
      <c r="Y101" s="7">
        <v>79.666666666666657</v>
      </c>
      <c r="Z101" s="7">
        <v>3.5666666666666669</v>
      </c>
      <c r="AA101" s="7">
        <v>100</v>
      </c>
    </row>
    <row r="102" spans="1:27" x14ac:dyDescent="0.2">
      <c r="A102" t="s">
        <v>221</v>
      </c>
      <c r="B102">
        <v>101</v>
      </c>
      <c r="C102" t="s">
        <v>222</v>
      </c>
      <c r="D102" t="s">
        <v>216</v>
      </c>
      <c r="E102" t="s">
        <v>31</v>
      </c>
      <c r="F102">
        <v>1</v>
      </c>
      <c r="G102" s="7">
        <v>321.91666666666657</v>
      </c>
      <c r="H102" s="7">
        <v>17.6875</v>
      </c>
      <c r="I102" s="7">
        <v>9.1104166666666657</v>
      </c>
      <c r="J102" s="12">
        <v>0</v>
      </c>
      <c r="K102" s="7">
        <v>44.791666666666657</v>
      </c>
      <c r="L102" s="7">
        <v>10.186046511627911</v>
      </c>
      <c r="M102" s="7">
        <v>2.7729166666666671</v>
      </c>
      <c r="N102" s="7">
        <v>0</v>
      </c>
      <c r="O102" s="7">
        <v>117.8333333333333</v>
      </c>
      <c r="P102" s="7">
        <v>0.34395833333333331</v>
      </c>
      <c r="Q102" s="7">
        <v>0.31586956521739129</v>
      </c>
      <c r="R102" s="7">
        <v>2.473913043478261</v>
      </c>
      <c r="S102" s="7">
        <v>8.8333333333333339</v>
      </c>
      <c r="T102" s="7">
        <v>189.0208333333334</v>
      </c>
      <c r="U102" s="7">
        <v>0.92891304347826076</v>
      </c>
      <c r="V102" s="7">
        <v>5.4787234042553186</v>
      </c>
      <c r="W102" s="7">
        <v>281.57446808510639</v>
      </c>
      <c r="X102" s="7">
        <v>686.7630434782609</v>
      </c>
      <c r="Y102" s="7">
        <v>24.521739130434781</v>
      </c>
      <c r="Z102" s="7">
        <v>3.9533333333333331</v>
      </c>
      <c r="AA102" s="7">
        <v>93.340909090909093</v>
      </c>
    </row>
    <row r="103" spans="1:27" x14ac:dyDescent="0.2">
      <c r="A103" t="s">
        <v>223</v>
      </c>
      <c r="B103">
        <v>102</v>
      </c>
      <c r="C103" t="s">
        <v>224</v>
      </c>
      <c r="D103" t="s">
        <v>216</v>
      </c>
      <c r="E103" t="s">
        <v>31</v>
      </c>
      <c r="F103">
        <v>3</v>
      </c>
      <c r="G103" s="7">
        <v>230</v>
      </c>
      <c r="H103" s="7">
        <v>29.9</v>
      </c>
      <c r="I103" s="7">
        <v>9.25</v>
      </c>
      <c r="J103" s="12">
        <v>0</v>
      </c>
      <c r="K103" s="7">
        <v>12.05</v>
      </c>
      <c r="L103" s="7">
        <v>0.05</v>
      </c>
      <c r="M103" s="7">
        <v>2.2999999999999998</v>
      </c>
      <c r="N103" s="8">
        <v>0</v>
      </c>
      <c r="O103" s="7">
        <v>59</v>
      </c>
      <c r="P103" s="7">
        <v>7.9999999999999988E-2</v>
      </c>
      <c r="Q103" s="7">
        <v>0.08</v>
      </c>
      <c r="R103" s="7">
        <v>0.4</v>
      </c>
      <c r="S103" s="8">
        <v>0.1</v>
      </c>
      <c r="T103" s="7">
        <v>300.5</v>
      </c>
      <c r="U103" s="7">
        <v>0.43500000000000011</v>
      </c>
      <c r="V103" s="7">
        <v>2.75</v>
      </c>
      <c r="W103" s="7">
        <v>482</v>
      </c>
      <c r="X103" s="7">
        <v>252.95</v>
      </c>
      <c r="Y103" s="7">
        <v>28.5</v>
      </c>
      <c r="Z103" s="7">
        <v>2.5</v>
      </c>
      <c r="AA103" s="7">
        <v>100</v>
      </c>
    </row>
    <row r="104" spans="1:27" x14ac:dyDescent="0.2">
      <c r="A104" t="s">
        <v>225</v>
      </c>
      <c r="B104">
        <v>103</v>
      </c>
      <c r="C104" t="s">
        <v>226</v>
      </c>
      <c r="D104" t="s">
        <v>216</v>
      </c>
      <c r="E104" t="s">
        <v>31</v>
      </c>
      <c r="F104">
        <v>1</v>
      </c>
      <c r="G104" s="7">
        <v>152.15384615384619</v>
      </c>
      <c r="H104" s="7">
        <v>13.415384615384619</v>
      </c>
      <c r="I104" s="7">
        <v>5.407692307692308</v>
      </c>
      <c r="J104" s="12">
        <v>0</v>
      </c>
      <c r="K104" s="7">
        <v>13.86153846153846</v>
      </c>
      <c r="L104" s="7">
        <v>3.5545454545454538</v>
      </c>
      <c r="M104" s="7">
        <v>12.315384615384611</v>
      </c>
      <c r="N104" s="7">
        <v>0</v>
      </c>
      <c r="O104" s="7">
        <v>0</v>
      </c>
      <c r="P104" s="7">
        <v>0.21846153846153851</v>
      </c>
      <c r="Q104" s="7">
        <v>0.27285714285714291</v>
      </c>
      <c r="R104" s="7">
        <v>2.25</v>
      </c>
      <c r="S104" s="7">
        <v>0.5</v>
      </c>
      <c r="T104" s="7">
        <v>158.30769230769229</v>
      </c>
      <c r="U104" s="7">
        <v>0.59</v>
      </c>
      <c r="V104" s="7">
        <v>5</v>
      </c>
      <c r="W104" s="7">
        <v>150.92307692307691</v>
      </c>
      <c r="X104" s="7">
        <v>342.2</v>
      </c>
      <c r="Y104" s="7">
        <v>12.66666666666667</v>
      </c>
      <c r="Z104" s="7">
        <v>1.8</v>
      </c>
      <c r="AA104" s="7">
        <v>100</v>
      </c>
    </row>
    <row r="105" spans="1:27" x14ac:dyDescent="0.2">
      <c r="A105" t="s">
        <v>227</v>
      </c>
      <c r="B105">
        <v>104</v>
      </c>
      <c r="C105" t="s">
        <v>228</v>
      </c>
      <c r="D105" t="s">
        <v>216</v>
      </c>
      <c r="E105" t="s">
        <v>31</v>
      </c>
      <c r="F105">
        <v>6</v>
      </c>
      <c r="G105" s="7">
        <v>261.5</v>
      </c>
      <c r="H105" s="7">
        <v>12.9</v>
      </c>
      <c r="I105" s="7">
        <v>5.2750000000000004</v>
      </c>
      <c r="J105" s="12">
        <v>0</v>
      </c>
      <c r="K105" s="7">
        <v>41.975000000000001</v>
      </c>
      <c r="L105" s="7">
        <v>8.1333333333333329</v>
      </c>
      <c r="M105" s="7">
        <v>2.2999999999999998</v>
      </c>
      <c r="N105" s="7">
        <v>0</v>
      </c>
      <c r="O105" s="8">
        <v>0</v>
      </c>
      <c r="P105" s="7">
        <v>5.2499999999999998E-2</v>
      </c>
      <c r="Q105" s="7">
        <v>0.1</v>
      </c>
      <c r="R105" s="7">
        <v>1.1499999999999999</v>
      </c>
      <c r="S105" s="7">
        <v>0</v>
      </c>
      <c r="T105" s="7">
        <v>148</v>
      </c>
      <c r="U105" s="8">
        <v>0.56999999999999995</v>
      </c>
      <c r="V105" s="7">
        <v>20.024999999999999</v>
      </c>
      <c r="W105" s="7">
        <v>173.25</v>
      </c>
      <c r="X105" s="8">
        <v>234</v>
      </c>
      <c r="Y105" s="8">
        <v>9</v>
      </c>
      <c r="Z105" s="8">
        <v>1.7</v>
      </c>
      <c r="AA105" s="7">
        <v>100</v>
      </c>
    </row>
    <row r="106" spans="1:27" x14ac:dyDescent="0.2">
      <c r="A106" t="s">
        <v>229</v>
      </c>
      <c r="B106">
        <v>105</v>
      </c>
      <c r="C106" t="s">
        <v>230</v>
      </c>
      <c r="D106" t="s">
        <v>216</v>
      </c>
      <c r="E106" t="s">
        <v>31</v>
      </c>
      <c r="F106">
        <v>1</v>
      </c>
      <c r="G106" s="7">
        <v>354.56923076923078</v>
      </c>
      <c r="H106" s="7">
        <v>15.25692307692308</v>
      </c>
      <c r="I106" s="7">
        <v>19.07076923076923</v>
      </c>
      <c r="J106" s="12">
        <v>0</v>
      </c>
      <c r="K106" s="7">
        <v>33.976923076923079</v>
      </c>
      <c r="L106" s="7">
        <v>3.1148148148148151</v>
      </c>
      <c r="M106" s="7">
        <v>4.2569230769230764</v>
      </c>
      <c r="N106" s="7">
        <v>13.6</v>
      </c>
      <c r="O106" s="7">
        <v>66.1875</v>
      </c>
      <c r="P106" s="7">
        <v>0.2686885245901639</v>
      </c>
      <c r="Q106" s="7">
        <v>0.25344827586206897</v>
      </c>
      <c r="R106" s="7">
        <v>3.2366666666666659</v>
      </c>
      <c r="S106" s="7">
        <v>0.60465116279069775</v>
      </c>
      <c r="T106" s="7">
        <v>147.80000000000001</v>
      </c>
      <c r="U106" s="7">
        <v>155.6339285714285</v>
      </c>
      <c r="V106" s="7">
        <v>5.8229508196721307</v>
      </c>
      <c r="W106" s="7">
        <v>254.6349206349206</v>
      </c>
      <c r="X106" s="7">
        <v>1064.535714285714</v>
      </c>
      <c r="Y106" s="7">
        <v>342.43333333333328</v>
      </c>
      <c r="Z106" s="7">
        <v>4.7785714285714276</v>
      </c>
      <c r="AA106" s="7">
        <v>96.123076923076923</v>
      </c>
    </row>
    <row r="107" spans="1:27" x14ac:dyDescent="0.2">
      <c r="B107">
        <v>106</v>
      </c>
      <c r="C107" t="s">
        <v>231</v>
      </c>
      <c r="D107" t="s">
        <v>231</v>
      </c>
      <c r="E107" t="s">
        <v>28</v>
      </c>
      <c r="F107">
        <v>0</v>
      </c>
      <c r="G107" s="7"/>
      <c r="H107" s="7"/>
      <c r="I107" s="7"/>
      <c r="J107" s="7"/>
      <c r="K107" s="7"/>
      <c r="L107" s="7"/>
      <c r="M107" s="7"/>
      <c r="N107" s="7"/>
      <c r="O107" s="7"/>
      <c r="P107" s="7"/>
      <c r="Q107" s="7"/>
      <c r="R107" s="7"/>
      <c r="S107" s="7"/>
      <c r="T107" s="7"/>
      <c r="U107" s="7"/>
      <c r="V107" s="7"/>
      <c r="W107" s="7"/>
      <c r="X107" s="7"/>
      <c r="Y107" s="7"/>
      <c r="Z107" s="7"/>
      <c r="AA107" s="7"/>
    </row>
    <row r="108" spans="1:27" x14ac:dyDescent="0.2">
      <c r="A108" t="s">
        <v>232</v>
      </c>
      <c r="B108">
        <v>107</v>
      </c>
      <c r="C108" t="s">
        <v>233</v>
      </c>
      <c r="D108" t="s">
        <v>231</v>
      </c>
      <c r="E108" t="s">
        <v>31</v>
      </c>
      <c r="F108">
        <v>2</v>
      </c>
      <c r="G108" s="7">
        <v>47.142857142857153</v>
      </c>
      <c r="H108" s="7">
        <v>0.65714285714285714</v>
      </c>
      <c r="I108" s="7">
        <v>0.22857142857142859</v>
      </c>
      <c r="J108" s="12">
        <v>0</v>
      </c>
      <c r="K108" s="7">
        <v>11.22857142857143</v>
      </c>
      <c r="L108" s="7">
        <v>1.7714285714285709</v>
      </c>
      <c r="M108" s="7">
        <v>0.47142857142857142</v>
      </c>
      <c r="N108" s="8">
        <v>0</v>
      </c>
      <c r="O108" s="7">
        <v>9.4285714285714288</v>
      </c>
      <c r="P108" s="7">
        <v>5.2857142857142859E-2</v>
      </c>
      <c r="Q108" s="7">
        <v>3.5714285714285712E-2</v>
      </c>
      <c r="R108" s="7">
        <v>0.2142857142857143</v>
      </c>
      <c r="S108" s="7">
        <v>33.428571428571431</v>
      </c>
      <c r="T108" s="7">
        <v>27.714285714285719</v>
      </c>
      <c r="U108" s="7">
        <v>93.715714285714284</v>
      </c>
      <c r="V108" s="7">
        <v>0.41428571428571431</v>
      </c>
      <c r="W108" s="7">
        <v>37.142857142857153</v>
      </c>
      <c r="X108" s="7">
        <v>297.64285714285722</v>
      </c>
      <c r="Y108" s="7">
        <v>6.1428571428571432</v>
      </c>
      <c r="Z108" s="7">
        <v>0.1428571428571429</v>
      </c>
      <c r="AA108" s="7">
        <v>73.142857142857139</v>
      </c>
    </row>
    <row r="109" spans="1:27" x14ac:dyDescent="0.2">
      <c r="A109" t="s">
        <v>234</v>
      </c>
      <c r="B109">
        <v>108</v>
      </c>
      <c r="C109" t="s">
        <v>235</v>
      </c>
      <c r="D109" t="s">
        <v>231</v>
      </c>
      <c r="E109" t="s">
        <v>31</v>
      </c>
      <c r="F109">
        <v>1</v>
      </c>
      <c r="G109" s="7">
        <v>67.400000000000006</v>
      </c>
      <c r="H109" s="7">
        <v>0.80999999999999994</v>
      </c>
      <c r="I109" s="7">
        <v>0.24</v>
      </c>
      <c r="J109" s="12">
        <v>0</v>
      </c>
      <c r="K109" s="7">
        <v>16.48</v>
      </c>
      <c r="L109" s="7">
        <v>3.977777777777777</v>
      </c>
      <c r="M109" s="7">
        <v>0.37</v>
      </c>
      <c r="N109" s="7">
        <v>0</v>
      </c>
      <c r="O109" s="7">
        <v>211.8</v>
      </c>
      <c r="P109" s="7">
        <v>8.2000000000000003E-2</v>
      </c>
      <c r="Q109" s="7">
        <v>1.2999999999999999E-2</v>
      </c>
      <c r="R109" s="7">
        <v>0.41</v>
      </c>
      <c r="S109" s="7">
        <v>28</v>
      </c>
      <c r="T109" s="7">
        <v>14.3</v>
      </c>
      <c r="U109" s="7">
        <v>8.1000000000000016E-2</v>
      </c>
      <c r="V109" s="7">
        <v>0.75</v>
      </c>
      <c r="W109" s="7">
        <v>12.3</v>
      </c>
      <c r="X109" s="7">
        <v>102.91</v>
      </c>
      <c r="Y109" s="7">
        <v>9.1</v>
      </c>
      <c r="Z109" s="7">
        <v>0.08</v>
      </c>
      <c r="AA109" s="7">
        <v>65.8</v>
      </c>
    </row>
    <row r="110" spans="1:27" x14ac:dyDescent="0.2">
      <c r="A110" t="s">
        <v>236</v>
      </c>
      <c r="B110">
        <v>109</v>
      </c>
      <c r="C110" t="s">
        <v>237</v>
      </c>
      <c r="D110" t="s">
        <v>231</v>
      </c>
      <c r="E110" t="s">
        <v>31</v>
      </c>
      <c r="F110">
        <v>2</v>
      </c>
      <c r="G110" s="7">
        <v>57.5</v>
      </c>
      <c r="H110" s="7">
        <v>0.4</v>
      </c>
      <c r="I110" s="7">
        <v>0.4</v>
      </c>
      <c r="J110" s="12">
        <v>0</v>
      </c>
      <c r="K110" s="7">
        <v>13.85</v>
      </c>
      <c r="L110" s="7">
        <v>1.7</v>
      </c>
      <c r="M110" s="7">
        <v>0.3</v>
      </c>
      <c r="N110" s="8">
        <v>0</v>
      </c>
      <c r="O110" s="7">
        <v>28</v>
      </c>
      <c r="P110" s="7">
        <v>4.4999999999999998E-2</v>
      </c>
      <c r="Q110" s="7">
        <v>0.03</v>
      </c>
      <c r="R110" s="7">
        <v>0.1</v>
      </c>
      <c r="S110" s="7">
        <v>5</v>
      </c>
      <c r="T110" s="7">
        <v>7.5</v>
      </c>
      <c r="U110" s="7">
        <v>117.18</v>
      </c>
      <c r="V110" s="7">
        <v>0.45</v>
      </c>
      <c r="W110" s="7">
        <v>14</v>
      </c>
      <c r="X110" s="7">
        <v>152.69999999999999</v>
      </c>
      <c r="Y110" s="7">
        <v>3</v>
      </c>
      <c r="Z110" s="7">
        <v>0.15</v>
      </c>
      <c r="AA110" s="7">
        <v>88</v>
      </c>
    </row>
    <row r="111" spans="1:27" x14ac:dyDescent="0.2">
      <c r="A111" t="s">
        <v>238</v>
      </c>
      <c r="B111">
        <v>110</v>
      </c>
      <c r="C111" t="s">
        <v>239</v>
      </c>
      <c r="D111" t="s">
        <v>231</v>
      </c>
      <c r="E111" t="s">
        <v>31</v>
      </c>
      <c r="F111">
        <v>2</v>
      </c>
      <c r="G111" s="7">
        <v>72.5</v>
      </c>
      <c r="H111" s="7">
        <v>0.7</v>
      </c>
      <c r="I111" s="7">
        <v>0.15</v>
      </c>
      <c r="J111" s="12">
        <v>0</v>
      </c>
      <c r="K111" s="7">
        <v>18.05</v>
      </c>
      <c r="L111" s="7">
        <v>2.2999999999999998</v>
      </c>
      <c r="M111" s="7">
        <v>0.35</v>
      </c>
      <c r="N111" s="8">
        <v>0</v>
      </c>
      <c r="O111" s="7">
        <v>0</v>
      </c>
      <c r="P111" s="7">
        <v>9.5000000000000001E-2</v>
      </c>
      <c r="Q111" s="7">
        <v>4.0000000000000008E-2</v>
      </c>
      <c r="R111" s="7">
        <v>0.45</v>
      </c>
      <c r="S111" s="7">
        <v>35.5</v>
      </c>
      <c r="T111" s="7">
        <v>15.5</v>
      </c>
      <c r="U111" s="7">
        <v>0.185</v>
      </c>
      <c r="V111" s="7">
        <v>0.85</v>
      </c>
      <c r="W111" s="7">
        <v>19</v>
      </c>
      <c r="X111" s="7">
        <v>112.1</v>
      </c>
      <c r="Y111" s="7">
        <v>19</v>
      </c>
      <c r="Z111" s="7">
        <v>0.15</v>
      </c>
      <c r="AA111" s="7">
        <v>40</v>
      </c>
    </row>
    <row r="112" spans="1:27" x14ac:dyDescent="0.2">
      <c r="A112" t="s">
        <v>240</v>
      </c>
      <c r="B112">
        <v>111</v>
      </c>
      <c r="C112" t="s">
        <v>241</v>
      </c>
      <c r="D112" t="s">
        <v>231</v>
      </c>
      <c r="E112" t="s">
        <v>31</v>
      </c>
      <c r="F112">
        <v>2</v>
      </c>
      <c r="G112" s="7">
        <v>68.333333333333329</v>
      </c>
      <c r="H112" s="7">
        <v>1.166666666666667</v>
      </c>
      <c r="I112" s="7">
        <v>0.2</v>
      </c>
      <c r="J112" s="12">
        <v>0</v>
      </c>
      <c r="K112" s="7">
        <v>14.46666666666667</v>
      </c>
      <c r="L112" s="7">
        <v>2.3666666666666671</v>
      </c>
      <c r="M112" s="7">
        <v>0.46666666666666667</v>
      </c>
      <c r="N112" s="8">
        <v>0</v>
      </c>
      <c r="O112" s="7">
        <v>0</v>
      </c>
      <c r="P112" s="7">
        <v>5.3333333333333337E-2</v>
      </c>
      <c r="Q112" s="7">
        <v>6.3333333333333339E-2</v>
      </c>
      <c r="R112" s="7">
        <v>1.2666666666666671</v>
      </c>
      <c r="S112" s="7">
        <v>7</v>
      </c>
      <c r="T112" s="7">
        <v>19</v>
      </c>
      <c r="U112" s="7">
        <v>8.666666666666667E-2</v>
      </c>
      <c r="V112" s="7">
        <v>1.1000000000000001</v>
      </c>
      <c r="W112" s="7">
        <v>23.666666666666671</v>
      </c>
      <c r="X112" s="7">
        <v>166.43333333333331</v>
      </c>
      <c r="Y112" s="7">
        <v>1.666666666666667</v>
      </c>
      <c r="Z112" s="7">
        <v>0.2</v>
      </c>
      <c r="AA112" s="7">
        <v>64</v>
      </c>
    </row>
    <row r="113" spans="1:27" x14ac:dyDescent="0.2">
      <c r="A113" t="s">
        <v>242</v>
      </c>
      <c r="B113">
        <v>112</v>
      </c>
      <c r="C113" t="s">
        <v>243</v>
      </c>
      <c r="D113" t="s">
        <v>231</v>
      </c>
      <c r="E113" t="s">
        <v>31</v>
      </c>
      <c r="F113">
        <v>2</v>
      </c>
      <c r="G113" s="7">
        <v>149</v>
      </c>
      <c r="H113" s="7">
        <v>2.5</v>
      </c>
      <c r="I113" s="7">
        <v>3</v>
      </c>
      <c r="J113" s="12">
        <v>0</v>
      </c>
      <c r="K113" s="7">
        <v>21.5</v>
      </c>
      <c r="L113" s="7">
        <v>3.5</v>
      </c>
      <c r="M113" s="7">
        <v>8</v>
      </c>
      <c r="N113" s="8">
        <v>0</v>
      </c>
      <c r="O113" s="7">
        <v>146</v>
      </c>
      <c r="P113" s="7">
        <v>0.1</v>
      </c>
      <c r="Q113" s="7">
        <v>0.19</v>
      </c>
      <c r="R113" s="7">
        <v>136.5</v>
      </c>
      <c r="S113" s="7">
        <v>53</v>
      </c>
      <c r="T113" s="7">
        <v>7</v>
      </c>
      <c r="U113" s="7">
        <v>0.12</v>
      </c>
      <c r="V113" s="7">
        <v>1.3</v>
      </c>
      <c r="W113" s="7">
        <v>44</v>
      </c>
      <c r="X113" s="7">
        <v>601</v>
      </c>
      <c r="Y113" s="7">
        <v>1</v>
      </c>
      <c r="Z113" s="7">
        <v>0.3</v>
      </c>
      <c r="AA113" s="7">
        <v>22</v>
      </c>
    </row>
    <row r="114" spans="1:27" x14ac:dyDescent="0.2">
      <c r="A114" t="s">
        <v>244</v>
      </c>
      <c r="B114">
        <v>113</v>
      </c>
      <c r="C114" t="s">
        <v>245</v>
      </c>
      <c r="D114" t="s">
        <v>231</v>
      </c>
      <c r="E114" t="s">
        <v>31</v>
      </c>
      <c r="F114">
        <v>1</v>
      </c>
      <c r="G114" s="7">
        <v>69</v>
      </c>
      <c r="H114" s="7">
        <v>0.52500000000000002</v>
      </c>
      <c r="I114" s="7">
        <v>0.23333333333333339</v>
      </c>
      <c r="J114" s="12">
        <v>0</v>
      </c>
      <c r="K114" s="7">
        <v>16.850000000000001</v>
      </c>
      <c r="L114" s="7">
        <v>1.5</v>
      </c>
      <c r="M114" s="7">
        <v>2.6749999999999998</v>
      </c>
      <c r="N114" s="7">
        <v>0</v>
      </c>
      <c r="O114" s="7">
        <v>3.666666666666667</v>
      </c>
      <c r="P114" s="7">
        <v>0.02</v>
      </c>
      <c r="Q114" s="7">
        <v>7.4999999999999997E-2</v>
      </c>
      <c r="R114" s="7">
        <v>0.1</v>
      </c>
      <c r="S114" s="7">
        <v>17</v>
      </c>
      <c r="T114" s="7">
        <v>41.5</v>
      </c>
      <c r="U114" s="7">
        <v>0.11</v>
      </c>
      <c r="V114" s="7">
        <v>2.6749999999999998</v>
      </c>
      <c r="W114" s="7">
        <v>30</v>
      </c>
      <c r="X114" s="7">
        <v>113</v>
      </c>
      <c r="Y114" s="7">
        <v>39</v>
      </c>
      <c r="Z114" s="7">
        <v>0.22500000000000001</v>
      </c>
      <c r="AA114" s="7">
        <v>84.5</v>
      </c>
    </row>
    <row r="115" spans="1:27" x14ac:dyDescent="0.2">
      <c r="A115" t="s">
        <v>246</v>
      </c>
      <c r="B115">
        <v>114</v>
      </c>
      <c r="C115" t="s">
        <v>247</v>
      </c>
      <c r="D115" t="s">
        <v>231</v>
      </c>
      <c r="E115" t="s">
        <v>31</v>
      </c>
      <c r="F115">
        <v>2</v>
      </c>
      <c r="G115" s="7">
        <v>108</v>
      </c>
      <c r="H115" s="7">
        <v>1</v>
      </c>
      <c r="I115" s="7">
        <v>0.8</v>
      </c>
      <c r="J115" s="12">
        <v>0</v>
      </c>
      <c r="K115" s="7">
        <v>24.3</v>
      </c>
      <c r="L115" s="7">
        <v>1.9</v>
      </c>
      <c r="M115" s="7">
        <v>1</v>
      </c>
      <c r="N115" s="8">
        <v>0</v>
      </c>
      <c r="O115" s="7">
        <v>37</v>
      </c>
      <c r="P115" s="7">
        <v>0.05</v>
      </c>
      <c r="Q115" s="7">
        <v>0.11</v>
      </c>
      <c r="R115" s="7">
        <v>0.1</v>
      </c>
      <c r="S115" s="7">
        <v>9</v>
      </c>
      <c r="T115" s="7">
        <v>20</v>
      </c>
      <c r="U115" s="7">
        <v>0.2</v>
      </c>
      <c r="V115" s="7">
        <v>0.2</v>
      </c>
      <c r="W115" s="7">
        <v>30</v>
      </c>
      <c r="X115" s="7">
        <v>356.3</v>
      </c>
      <c r="Y115" s="7">
        <v>10</v>
      </c>
      <c r="Z115" s="7">
        <v>0.2</v>
      </c>
      <c r="AA115" s="7">
        <v>75</v>
      </c>
    </row>
    <row r="116" spans="1:27" x14ac:dyDescent="0.2">
      <c r="A116" t="s">
        <v>248</v>
      </c>
      <c r="B116">
        <v>115</v>
      </c>
      <c r="C116" t="s">
        <v>249</v>
      </c>
      <c r="D116" t="s">
        <v>231</v>
      </c>
      <c r="E116" t="s">
        <v>31</v>
      </c>
      <c r="F116">
        <v>1</v>
      </c>
      <c r="G116" s="7">
        <v>112.45</v>
      </c>
      <c r="H116" s="7">
        <v>1.19</v>
      </c>
      <c r="I116" s="7">
        <v>0.31</v>
      </c>
      <c r="J116" s="12">
        <v>0</v>
      </c>
      <c r="K116" s="7">
        <v>27.31</v>
      </c>
      <c r="L116" s="7">
        <v>3.74</v>
      </c>
      <c r="M116" s="7">
        <v>0.93500000000000005</v>
      </c>
      <c r="N116" s="7">
        <v>0</v>
      </c>
      <c r="O116" s="7">
        <v>33.85</v>
      </c>
      <c r="P116" s="7">
        <v>9.5500000000000002E-2</v>
      </c>
      <c r="Q116" s="7">
        <v>5.6000000000000001E-2</v>
      </c>
      <c r="R116" s="7">
        <v>1.07</v>
      </c>
      <c r="S116" s="7">
        <v>12.75</v>
      </c>
      <c r="T116" s="7">
        <v>20.399999999999999</v>
      </c>
      <c r="U116" s="7">
        <v>9.9625000000000004</v>
      </c>
      <c r="V116" s="7">
        <v>0.55500000000000005</v>
      </c>
      <c r="W116" s="7">
        <v>37.9</v>
      </c>
      <c r="X116" s="7">
        <v>408.84500000000003</v>
      </c>
      <c r="Y116" s="7">
        <v>22.95</v>
      </c>
      <c r="Z116" s="7">
        <v>0.40500000000000003</v>
      </c>
      <c r="AA116" s="7">
        <v>74.55</v>
      </c>
    </row>
    <row r="117" spans="1:27" x14ac:dyDescent="0.2">
      <c r="A117" t="s">
        <v>250</v>
      </c>
      <c r="B117">
        <v>116</v>
      </c>
      <c r="C117" t="s">
        <v>251</v>
      </c>
      <c r="D117" t="s">
        <v>231</v>
      </c>
      <c r="E117" t="s">
        <v>31</v>
      </c>
      <c r="F117">
        <v>1</v>
      </c>
      <c r="G117" s="7">
        <v>35</v>
      </c>
      <c r="H117" s="7">
        <v>1.2</v>
      </c>
      <c r="I117" s="7">
        <v>0.15</v>
      </c>
      <c r="J117" s="12">
        <v>0</v>
      </c>
      <c r="K117" s="7">
        <v>7.9499999999999993</v>
      </c>
      <c r="L117" s="7">
        <v>1.3</v>
      </c>
      <c r="M117" s="7">
        <v>0.75</v>
      </c>
      <c r="N117" s="7">
        <v>0</v>
      </c>
      <c r="O117" s="7">
        <v>519</v>
      </c>
      <c r="P117" s="7">
        <v>0.18</v>
      </c>
      <c r="Q117" s="7">
        <v>6.5000000000000002E-2</v>
      </c>
      <c r="R117" s="7">
        <v>0.2</v>
      </c>
      <c r="S117" s="7">
        <v>81.5</v>
      </c>
      <c r="T117" s="7">
        <v>37</v>
      </c>
      <c r="U117" s="7">
        <v>0.02</v>
      </c>
      <c r="V117" s="7">
        <v>1.75</v>
      </c>
      <c r="W117" s="7">
        <v>22.5</v>
      </c>
      <c r="X117" s="7">
        <v>221</v>
      </c>
      <c r="Y117" s="7">
        <v>4</v>
      </c>
      <c r="Z117" s="7">
        <v>0.3</v>
      </c>
      <c r="AA117" s="7">
        <v>67.5</v>
      </c>
    </row>
    <row r="118" spans="1:27" x14ac:dyDescent="0.2">
      <c r="A118" t="s">
        <v>252</v>
      </c>
      <c r="B118">
        <v>117</v>
      </c>
      <c r="C118" t="s">
        <v>253</v>
      </c>
      <c r="D118" t="s">
        <v>231</v>
      </c>
      <c r="E118" t="s">
        <v>31</v>
      </c>
      <c r="F118">
        <v>2</v>
      </c>
      <c r="G118" s="7">
        <v>28</v>
      </c>
      <c r="H118" s="7">
        <v>0.5</v>
      </c>
      <c r="I118" s="7">
        <v>0.2</v>
      </c>
      <c r="J118" s="12">
        <v>0</v>
      </c>
      <c r="K118" s="7">
        <v>6.9</v>
      </c>
      <c r="L118" s="7">
        <v>0.4</v>
      </c>
      <c r="M118" s="7">
        <v>0.3</v>
      </c>
      <c r="N118" s="8">
        <v>0</v>
      </c>
      <c r="O118" s="7">
        <v>315</v>
      </c>
      <c r="P118" s="7">
        <v>0.05</v>
      </c>
      <c r="Q118" s="7">
        <v>0.05</v>
      </c>
      <c r="R118" s="7">
        <v>0.3</v>
      </c>
      <c r="S118" s="7">
        <v>6</v>
      </c>
      <c r="T118" s="7">
        <v>7</v>
      </c>
      <c r="U118" s="7">
        <v>0.04</v>
      </c>
      <c r="V118" s="7">
        <v>0.2</v>
      </c>
      <c r="W118" s="7">
        <v>12</v>
      </c>
      <c r="X118" s="7">
        <v>93.8</v>
      </c>
      <c r="Y118" s="7">
        <v>7</v>
      </c>
      <c r="Z118" s="7">
        <v>0.1</v>
      </c>
      <c r="AA118" s="7">
        <v>46</v>
      </c>
    </row>
    <row r="119" spans="1:27" x14ac:dyDescent="0.2">
      <c r="A119" t="s">
        <v>254</v>
      </c>
      <c r="B119">
        <v>118</v>
      </c>
      <c r="C119" t="s">
        <v>255</v>
      </c>
      <c r="D119" t="s">
        <v>231</v>
      </c>
      <c r="E119" t="s">
        <v>31</v>
      </c>
      <c r="F119">
        <v>2</v>
      </c>
      <c r="G119" s="7">
        <v>22.666666666666671</v>
      </c>
      <c r="H119" s="7">
        <v>1.4333333333333329</v>
      </c>
      <c r="I119" s="7">
        <v>0.46666666666666667</v>
      </c>
      <c r="J119" s="12">
        <v>0</v>
      </c>
      <c r="K119" s="7">
        <v>3.833333333333333</v>
      </c>
      <c r="L119" s="7">
        <v>1.2333333333333329</v>
      </c>
      <c r="M119" s="7">
        <v>1.3</v>
      </c>
      <c r="N119" s="8">
        <v>0</v>
      </c>
      <c r="O119" s="7">
        <v>408.33333333333331</v>
      </c>
      <c r="P119" s="7">
        <v>0.06</v>
      </c>
      <c r="Q119" s="7">
        <v>4.6666666666666669E-2</v>
      </c>
      <c r="R119" s="7">
        <v>0.6</v>
      </c>
      <c r="S119" s="7">
        <v>24.666666666666671</v>
      </c>
      <c r="T119" s="7">
        <v>6.666666666666667</v>
      </c>
      <c r="U119" s="7">
        <v>9.0000000000000011E-2</v>
      </c>
      <c r="V119" s="7">
        <v>0.5</v>
      </c>
      <c r="W119" s="7">
        <v>39.666666666666657</v>
      </c>
      <c r="X119" s="7">
        <v>200.0333333333333</v>
      </c>
      <c r="Y119" s="7">
        <v>9.9666666666666686</v>
      </c>
      <c r="Z119" s="7">
        <v>0.16666666666666671</v>
      </c>
      <c r="AA119" s="7">
        <v>98.333333333333314</v>
      </c>
    </row>
    <row r="120" spans="1:27" x14ac:dyDescent="0.2">
      <c r="B120">
        <v>119</v>
      </c>
      <c r="C120" t="s">
        <v>256</v>
      </c>
      <c r="D120" t="s">
        <v>231</v>
      </c>
      <c r="E120" t="s">
        <v>31</v>
      </c>
      <c r="F120">
        <v>1</v>
      </c>
      <c r="G120" s="7">
        <v>88</v>
      </c>
      <c r="H120" s="7">
        <v>1.327118644067796</v>
      </c>
      <c r="I120" s="7">
        <v>1.6728813559322031</v>
      </c>
      <c r="J120" s="12">
        <v>0</v>
      </c>
      <c r="K120" s="7">
        <v>17.606779661016951</v>
      </c>
      <c r="L120" s="7">
        <v>3.445098039215686</v>
      </c>
      <c r="M120" s="7">
        <v>1.0677966101694909</v>
      </c>
      <c r="N120" s="7">
        <v>0</v>
      </c>
      <c r="O120" s="7">
        <v>217</v>
      </c>
      <c r="P120" s="7">
        <v>9.7894736842105284E-2</v>
      </c>
      <c r="Q120" s="7">
        <v>8.9130434782608695E-2</v>
      </c>
      <c r="R120" s="7">
        <v>0.89302325581395348</v>
      </c>
      <c r="S120" s="7">
        <v>31</v>
      </c>
      <c r="T120" s="7">
        <v>43.372881355932201</v>
      </c>
      <c r="U120" s="7">
        <v>27.179047619047619</v>
      </c>
      <c r="V120" s="7">
        <v>1.152542372881356</v>
      </c>
      <c r="W120" s="7">
        <v>52.728813559322042</v>
      </c>
      <c r="X120" s="7">
        <v>207.8918367346939</v>
      </c>
      <c r="Y120" s="7">
        <v>13.142857142857149</v>
      </c>
      <c r="Z120" s="7">
        <v>0.78888888888888886</v>
      </c>
      <c r="AA120" s="7">
        <v>67.762962962962973</v>
      </c>
    </row>
    <row r="121" spans="1:27" x14ac:dyDescent="0.2">
      <c r="B121">
        <v>120</v>
      </c>
      <c r="C121" t="s">
        <v>257</v>
      </c>
      <c r="D121" t="s">
        <v>257</v>
      </c>
      <c r="E121" t="s">
        <v>28</v>
      </c>
      <c r="F121">
        <v>0</v>
      </c>
      <c r="G121" s="7"/>
      <c r="H121" s="7"/>
      <c r="I121" s="7"/>
      <c r="J121" s="7"/>
      <c r="K121" s="7"/>
      <c r="L121" s="7"/>
      <c r="M121" s="7"/>
      <c r="N121" s="7"/>
      <c r="O121" s="7"/>
      <c r="P121" s="7"/>
      <c r="Q121" s="7"/>
      <c r="R121" s="7"/>
      <c r="S121" s="7"/>
      <c r="T121" s="7"/>
      <c r="U121" s="7"/>
      <c r="V121" s="7"/>
      <c r="W121" s="7"/>
      <c r="X121" s="7"/>
      <c r="Y121" s="7"/>
      <c r="Z121" s="7"/>
      <c r="AA121" s="7"/>
    </row>
    <row r="122" spans="1:27" x14ac:dyDescent="0.2">
      <c r="A122" t="s">
        <v>258</v>
      </c>
      <c r="B122">
        <v>121</v>
      </c>
      <c r="C122" t="s">
        <v>259</v>
      </c>
      <c r="D122" t="s">
        <v>257</v>
      </c>
      <c r="E122" t="s">
        <v>31</v>
      </c>
      <c r="F122">
        <v>1</v>
      </c>
      <c r="G122" s="7">
        <v>870</v>
      </c>
      <c r="H122" s="7">
        <v>1</v>
      </c>
      <c r="I122" s="7">
        <v>98</v>
      </c>
      <c r="J122" s="12">
        <v>0</v>
      </c>
      <c r="K122" s="7">
        <v>0</v>
      </c>
      <c r="L122" s="7">
        <v>0</v>
      </c>
      <c r="M122" s="7">
        <v>1</v>
      </c>
      <c r="N122" s="7">
        <v>0</v>
      </c>
      <c r="O122" s="7">
        <v>0</v>
      </c>
      <c r="P122" s="7">
        <v>0</v>
      </c>
      <c r="Q122" s="7">
        <v>0</v>
      </c>
      <c r="R122" s="7">
        <v>0</v>
      </c>
      <c r="S122" s="7">
        <v>0</v>
      </c>
      <c r="T122" s="7">
        <v>0</v>
      </c>
      <c r="U122" s="7">
        <v>0</v>
      </c>
      <c r="V122" s="7">
        <v>0</v>
      </c>
      <c r="W122" s="7">
        <v>0</v>
      </c>
      <c r="X122" s="7">
        <v>0</v>
      </c>
      <c r="Y122" s="7">
        <v>0</v>
      </c>
      <c r="Z122" s="7">
        <v>0</v>
      </c>
      <c r="AA122" s="7">
        <v>100</v>
      </c>
    </row>
    <row r="123" spans="1:27" x14ac:dyDescent="0.2">
      <c r="A123" t="s">
        <v>260</v>
      </c>
      <c r="B123">
        <v>122</v>
      </c>
      <c r="C123" t="s">
        <v>261</v>
      </c>
      <c r="D123" t="s">
        <v>257</v>
      </c>
      <c r="E123" t="s">
        <v>31</v>
      </c>
      <c r="F123">
        <v>2</v>
      </c>
      <c r="G123" s="7">
        <v>884</v>
      </c>
      <c r="H123" s="7">
        <v>0</v>
      </c>
      <c r="I123" s="7">
        <v>100</v>
      </c>
      <c r="J123" s="12">
        <v>0</v>
      </c>
      <c r="K123" s="7">
        <v>0</v>
      </c>
      <c r="L123" s="7">
        <v>0</v>
      </c>
      <c r="M123" s="7">
        <v>0</v>
      </c>
      <c r="N123" s="8">
        <v>0</v>
      </c>
      <c r="O123" s="7">
        <v>18181</v>
      </c>
      <c r="P123" s="7">
        <v>0</v>
      </c>
      <c r="Q123" s="7">
        <v>0</v>
      </c>
      <c r="R123" s="7">
        <v>0</v>
      </c>
      <c r="S123" s="7">
        <v>0</v>
      </c>
      <c r="T123" s="7">
        <v>0</v>
      </c>
      <c r="U123" s="7">
        <v>0</v>
      </c>
      <c r="V123" s="7">
        <v>0</v>
      </c>
      <c r="W123" s="7">
        <v>0</v>
      </c>
      <c r="X123" s="7">
        <v>0</v>
      </c>
      <c r="Y123" s="7">
        <v>0</v>
      </c>
      <c r="Z123" s="7">
        <v>0</v>
      </c>
      <c r="AA123" s="7">
        <v>100</v>
      </c>
    </row>
    <row r="124" spans="1:27" x14ac:dyDescent="0.2">
      <c r="A124" t="s">
        <v>262</v>
      </c>
      <c r="B124">
        <v>123</v>
      </c>
      <c r="C124" t="s">
        <v>263</v>
      </c>
      <c r="D124" t="s">
        <v>257</v>
      </c>
      <c r="E124" t="s">
        <v>31</v>
      </c>
      <c r="F124">
        <v>1</v>
      </c>
      <c r="G124" s="7">
        <v>246.25</v>
      </c>
      <c r="H124" s="7">
        <v>3.4</v>
      </c>
      <c r="I124" s="7">
        <v>23.5</v>
      </c>
      <c r="J124" s="12">
        <v>0</v>
      </c>
      <c r="K124" s="7">
        <v>9.3000000000000007</v>
      </c>
      <c r="L124" s="7">
        <v>2.125</v>
      </c>
      <c r="M124" s="7">
        <v>0.85</v>
      </c>
      <c r="N124" s="7">
        <v>0</v>
      </c>
      <c r="O124" s="7">
        <v>0</v>
      </c>
      <c r="P124" s="7">
        <v>4.7500000000000001E-2</v>
      </c>
      <c r="Q124" s="7">
        <v>2.5000000000000001E-3</v>
      </c>
      <c r="R124" s="7">
        <v>0.27750000000000002</v>
      </c>
      <c r="S124" s="7">
        <v>2.5</v>
      </c>
      <c r="T124" s="7">
        <v>17</v>
      </c>
      <c r="U124" s="7">
        <v>0.315</v>
      </c>
      <c r="V124" s="7">
        <v>1.325</v>
      </c>
      <c r="W124" s="7">
        <v>57</v>
      </c>
      <c r="X124" s="7">
        <v>322.02499999999998</v>
      </c>
      <c r="Y124" s="7">
        <v>8.5</v>
      </c>
      <c r="Z124" s="7">
        <v>1.325</v>
      </c>
      <c r="AA124" s="7">
        <v>76.5</v>
      </c>
    </row>
    <row r="125" spans="1:27" x14ac:dyDescent="0.2">
      <c r="A125" t="s">
        <v>264</v>
      </c>
      <c r="B125">
        <v>124</v>
      </c>
      <c r="C125" t="s">
        <v>265</v>
      </c>
      <c r="D125" t="s">
        <v>257</v>
      </c>
      <c r="E125" t="s">
        <v>31</v>
      </c>
      <c r="F125">
        <v>1</v>
      </c>
      <c r="G125" s="7">
        <v>749.07692307692309</v>
      </c>
      <c r="H125" s="7">
        <v>2.0384615384615379</v>
      </c>
      <c r="I125" s="7">
        <v>82.046153846153842</v>
      </c>
      <c r="J125" s="12">
        <v>0</v>
      </c>
      <c r="K125" s="7">
        <v>1.6384615384615391</v>
      </c>
      <c r="L125" s="7">
        <v>0</v>
      </c>
      <c r="M125" s="7">
        <v>1.069230769230769</v>
      </c>
      <c r="N125" s="7">
        <v>4301.0909090909099</v>
      </c>
      <c r="O125" s="7">
        <v>105.1666666666667</v>
      </c>
      <c r="P125" s="7">
        <v>7.0000000000000007E-2</v>
      </c>
      <c r="Q125" s="7">
        <v>3.8461538461538457E-2</v>
      </c>
      <c r="R125" s="7">
        <v>0.49166666666666659</v>
      </c>
      <c r="S125" s="7">
        <v>0.1</v>
      </c>
      <c r="T125" s="7">
        <v>14.53846153846154</v>
      </c>
      <c r="U125" s="7">
        <v>0.78333333333333344</v>
      </c>
      <c r="V125" s="7">
        <v>2.7692307692307692</v>
      </c>
      <c r="W125" s="7">
        <v>34.769230769230766</v>
      </c>
      <c r="X125" s="7">
        <v>18.899999999999999</v>
      </c>
      <c r="Y125" s="7">
        <v>125.9166666666667</v>
      </c>
      <c r="Z125" s="7">
        <v>0.2083333333333334</v>
      </c>
      <c r="AA125" s="7">
        <v>100</v>
      </c>
    </row>
    <row r="126" spans="1:27" x14ac:dyDescent="0.2">
      <c r="B126">
        <v>125</v>
      </c>
      <c r="C126" t="s">
        <v>266</v>
      </c>
      <c r="D126" t="s">
        <v>266</v>
      </c>
      <c r="E126" t="s">
        <v>28</v>
      </c>
      <c r="F126">
        <v>0</v>
      </c>
      <c r="G126" s="7"/>
      <c r="H126" s="7"/>
      <c r="I126" s="7"/>
      <c r="J126" s="7"/>
      <c r="K126" s="7"/>
      <c r="L126" s="7"/>
      <c r="M126" s="7"/>
      <c r="N126" s="7"/>
      <c r="O126" s="7"/>
      <c r="P126" s="7"/>
      <c r="Q126" s="7"/>
      <c r="R126" s="7"/>
      <c r="S126" s="7"/>
      <c r="T126" s="7"/>
      <c r="U126" s="7"/>
      <c r="V126" s="7"/>
      <c r="W126" s="7"/>
      <c r="X126" s="7"/>
      <c r="Y126" s="7"/>
      <c r="Z126" s="7"/>
      <c r="AA126" s="7"/>
    </row>
    <row r="127" spans="1:27" x14ac:dyDescent="0.2">
      <c r="A127" t="s">
        <v>267</v>
      </c>
      <c r="B127">
        <v>126</v>
      </c>
      <c r="C127" t="s">
        <v>268</v>
      </c>
      <c r="D127" t="s">
        <v>266</v>
      </c>
      <c r="E127" t="s">
        <v>31</v>
      </c>
      <c r="F127">
        <v>1</v>
      </c>
      <c r="G127" s="7">
        <v>394</v>
      </c>
      <c r="H127" s="7">
        <v>0</v>
      </c>
      <c r="I127" s="7">
        <v>0</v>
      </c>
      <c r="J127" s="12">
        <v>0</v>
      </c>
      <c r="K127" s="7">
        <v>94</v>
      </c>
      <c r="L127" s="7">
        <v>0</v>
      </c>
      <c r="M127" s="7">
        <v>0.6</v>
      </c>
      <c r="N127" s="7">
        <v>0</v>
      </c>
      <c r="O127" s="7">
        <v>0</v>
      </c>
      <c r="P127" s="7">
        <v>0</v>
      </c>
      <c r="Q127" s="7">
        <v>0</v>
      </c>
      <c r="R127" s="7">
        <v>0</v>
      </c>
      <c r="S127" s="7">
        <v>0</v>
      </c>
      <c r="T127" s="7">
        <v>5</v>
      </c>
      <c r="U127" s="7">
        <v>0</v>
      </c>
      <c r="V127" s="7">
        <v>0.1</v>
      </c>
      <c r="W127" s="7">
        <v>1</v>
      </c>
      <c r="X127" s="7">
        <v>4.75</v>
      </c>
      <c r="Y127" s="7">
        <v>1</v>
      </c>
      <c r="Z127" s="7">
        <v>0</v>
      </c>
      <c r="AA127" s="7">
        <v>100</v>
      </c>
    </row>
    <row r="128" spans="1:27" x14ac:dyDescent="0.2">
      <c r="A128" t="s">
        <v>269</v>
      </c>
      <c r="B128">
        <v>127</v>
      </c>
      <c r="C128" t="s">
        <v>270</v>
      </c>
      <c r="D128" t="s">
        <v>266</v>
      </c>
      <c r="E128" t="s">
        <v>31</v>
      </c>
      <c r="F128">
        <v>1</v>
      </c>
      <c r="G128" s="7">
        <v>377</v>
      </c>
      <c r="H128" s="7">
        <v>1.5</v>
      </c>
      <c r="I128" s="7">
        <v>5</v>
      </c>
      <c r="J128" s="12">
        <v>0</v>
      </c>
      <c r="K128" s="7">
        <v>84</v>
      </c>
      <c r="L128" s="7">
        <v>0</v>
      </c>
      <c r="M128" s="7">
        <v>1</v>
      </c>
      <c r="N128" s="7">
        <v>0</v>
      </c>
      <c r="O128" s="7">
        <v>0</v>
      </c>
      <c r="P128" s="7">
        <v>0</v>
      </c>
      <c r="Q128" s="7">
        <v>0.17499999999999999</v>
      </c>
      <c r="R128" s="7">
        <v>0.5</v>
      </c>
      <c r="S128" s="7">
        <v>0</v>
      </c>
      <c r="T128" s="7">
        <v>75.5</v>
      </c>
      <c r="U128" s="7">
        <v>0.02</v>
      </c>
      <c r="V128" s="7">
        <v>2.8</v>
      </c>
      <c r="W128" s="7">
        <v>36</v>
      </c>
      <c r="X128" s="7">
        <v>195.2</v>
      </c>
      <c r="Y128" s="7">
        <v>8.5</v>
      </c>
      <c r="Z128" s="7">
        <v>13.2</v>
      </c>
      <c r="AA128" s="7">
        <v>100</v>
      </c>
    </row>
    <row r="129" spans="1:27" x14ac:dyDescent="0.2">
      <c r="A129" t="s">
        <v>271</v>
      </c>
      <c r="B129">
        <v>128</v>
      </c>
      <c r="C129" t="s">
        <v>272</v>
      </c>
      <c r="D129" t="s">
        <v>266</v>
      </c>
      <c r="E129" t="s">
        <v>31</v>
      </c>
      <c r="F129">
        <v>1</v>
      </c>
      <c r="G129" s="7">
        <v>297.33333333333331</v>
      </c>
      <c r="H129" s="7">
        <v>25.633333333333329</v>
      </c>
      <c r="I129" s="7">
        <v>3.7</v>
      </c>
      <c r="J129" s="12">
        <v>0</v>
      </c>
      <c r="K129" s="7">
        <v>57.133333333333333</v>
      </c>
      <c r="L129" s="7">
        <v>9.3333333333333321</v>
      </c>
      <c r="M129" s="7">
        <v>5.6</v>
      </c>
      <c r="N129" s="7">
        <v>0</v>
      </c>
      <c r="O129" s="7">
        <v>6500</v>
      </c>
      <c r="P129" s="7">
        <v>0.17333333333333331</v>
      </c>
      <c r="Q129" s="7">
        <v>0.94333333333333336</v>
      </c>
      <c r="R129" s="7">
        <v>6.5</v>
      </c>
      <c r="S129" s="7">
        <v>108</v>
      </c>
      <c r="T129" s="7">
        <v>297.33333333333331</v>
      </c>
      <c r="U129" s="7">
        <v>0.34333333333333332</v>
      </c>
      <c r="V129" s="7">
        <v>24.933333333333341</v>
      </c>
      <c r="W129" s="7">
        <v>304.33333333333331</v>
      </c>
      <c r="X129" s="7">
        <v>5859.0333333333328</v>
      </c>
      <c r="Y129" s="7">
        <v>60</v>
      </c>
      <c r="Z129" s="7">
        <v>0</v>
      </c>
      <c r="AA129" s="7">
        <v>100</v>
      </c>
    </row>
    <row r="130" spans="1:27" x14ac:dyDescent="0.2">
      <c r="A130" t="s">
        <v>273</v>
      </c>
      <c r="B130">
        <v>129</v>
      </c>
      <c r="C130" t="s">
        <v>274</v>
      </c>
      <c r="D130" t="s">
        <v>266</v>
      </c>
      <c r="E130" t="s">
        <v>31</v>
      </c>
      <c r="F130">
        <v>1</v>
      </c>
      <c r="G130" s="7">
        <v>297.33333333333331</v>
      </c>
      <c r="H130" s="7">
        <v>25.633333333333329</v>
      </c>
      <c r="I130" s="7">
        <v>3.7</v>
      </c>
      <c r="J130" s="12">
        <v>0</v>
      </c>
      <c r="K130" s="7">
        <v>57.133333333333333</v>
      </c>
      <c r="L130" s="7">
        <v>9.3333333333333321</v>
      </c>
      <c r="M130" s="7">
        <v>5.6</v>
      </c>
      <c r="N130" s="7">
        <v>0</v>
      </c>
      <c r="O130" s="7">
        <v>6500</v>
      </c>
      <c r="P130" s="7">
        <v>0.17333333333333331</v>
      </c>
      <c r="Q130" s="7">
        <v>0.94333333333333336</v>
      </c>
      <c r="R130" s="7">
        <v>6.5</v>
      </c>
      <c r="S130" s="7">
        <v>108</v>
      </c>
      <c r="T130" s="7">
        <v>297.33333333333331</v>
      </c>
      <c r="U130" s="7">
        <v>0.34333333333333332</v>
      </c>
      <c r="V130" s="7">
        <v>24.933333333333341</v>
      </c>
      <c r="W130" s="7">
        <v>304.33333333333331</v>
      </c>
      <c r="X130" s="7">
        <v>5859.0333333333328</v>
      </c>
      <c r="Y130" s="7">
        <v>60</v>
      </c>
      <c r="Z130" s="7">
        <v>0</v>
      </c>
      <c r="AA130" s="7">
        <v>100</v>
      </c>
    </row>
    <row r="131" spans="1:27" x14ac:dyDescent="0.2">
      <c r="A131" t="s">
        <v>275</v>
      </c>
      <c r="B131">
        <v>130</v>
      </c>
      <c r="C131" t="s">
        <v>276</v>
      </c>
      <c r="D131" t="s">
        <v>266</v>
      </c>
      <c r="E131" t="s">
        <v>277</v>
      </c>
      <c r="F131">
        <v>21</v>
      </c>
      <c r="G131" s="8">
        <v>419</v>
      </c>
      <c r="H131" s="8">
        <v>14.7</v>
      </c>
      <c r="I131" s="8">
        <v>11.9</v>
      </c>
      <c r="J131" s="12">
        <v>0</v>
      </c>
      <c r="K131" s="8">
        <v>65.8</v>
      </c>
      <c r="L131" s="8">
        <v>51.2</v>
      </c>
      <c r="M131" s="8">
        <v>4.7</v>
      </c>
      <c r="N131" s="8">
        <v>0</v>
      </c>
      <c r="O131" s="8">
        <v>0</v>
      </c>
      <c r="P131" s="8">
        <v>0</v>
      </c>
      <c r="Q131" s="8">
        <v>0</v>
      </c>
      <c r="R131" s="8">
        <v>11.89</v>
      </c>
      <c r="S131" s="8">
        <v>0</v>
      </c>
      <c r="T131" s="8">
        <v>107</v>
      </c>
      <c r="U131" s="8">
        <v>1.3</v>
      </c>
      <c r="V131" s="8">
        <v>8.1</v>
      </c>
      <c r="W131" s="8">
        <v>169</v>
      </c>
      <c r="X131" s="8">
        <v>1609</v>
      </c>
      <c r="Y131" s="8">
        <v>1</v>
      </c>
      <c r="Z131" s="8">
        <v>0.5</v>
      </c>
      <c r="AA131" s="8">
        <v>100</v>
      </c>
    </row>
    <row r="132" spans="1:27" x14ac:dyDescent="0.2">
      <c r="A132" t="s">
        <v>278</v>
      </c>
      <c r="B132">
        <v>131</v>
      </c>
      <c r="C132" t="s">
        <v>279</v>
      </c>
      <c r="D132" t="s">
        <v>266</v>
      </c>
      <c r="E132" t="s">
        <v>31</v>
      </c>
      <c r="F132">
        <v>2</v>
      </c>
      <c r="G132" s="7">
        <v>129</v>
      </c>
      <c r="H132" s="7">
        <v>12.3</v>
      </c>
      <c r="I132" s="7">
        <v>0.5</v>
      </c>
      <c r="J132" s="12">
        <v>0</v>
      </c>
      <c r="K132" s="7">
        <v>35</v>
      </c>
      <c r="L132" s="7">
        <v>0</v>
      </c>
      <c r="M132" s="7">
        <v>9.6999999999999993</v>
      </c>
      <c r="N132" s="8">
        <v>0</v>
      </c>
      <c r="O132" s="7">
        <v>0</v>
      </c>
      <c r="P132" s="7">
        <v>0</v>
      </c>
      <c r="Q132" s="7">
        <v>0.21</v>
      </c>
      <c r="R132" s="7">
        <v>30.6</v>
      </c>
      <c r="S132" s="7">
        <v>0</v>
      </c>
      <c r="T132" s="7">
        <v>179</v>
      </c>
      <c r="U132" s="7">
        <v>0.14000000000000001</v>
      </c>
      <c r="V132" s="7">
        <v>5.6</v>
      </c>
      <c r="W132" s="7">
        <v>383</v>
      </c>
      <c r="X132" s="7">
        <v>3256</v>
      </c>
      <c r="Y132" s="7">
        <v>72</v>
      </c>
      <c r="Z132" s="7">
        <v>0</v>
      </c>
      <c r="AA132" s="7">
        <v>100</v>
      </c>
    </row>
    <row r="133" spans="1:27" x14ac:dyDescent="0.2">
      <c r="A133" t="s">
        <v>280</v>
      </c>
      <c r="B133">
        <v>132</v>
      </c>
      <c r="C133" t="s">
        <v>281</v>
      </c>
      <c r="D133" t="s">
        <v>266</v>
      </c>
      <c r="E133" t="s">
        <v>31</v>
      </c>
      <c r="F133">
        <v>1</v>
      </c>
      <c r="G133" s="7">
        <v>300.41666666666657</v>
      </c>
      <c r="H133" s="7">
        <v>2.663636363636364</v>
      </c>
      <c r="I133" s="7">
        <v>12.04166666666667</v>
      </c>
      <c r="J133" s="12">
        <v>0</v>
      </c>
      <c r="K133" s="7">
        <v>49.716666666666669</v>
      </c>
      <c r="L133" s="7">
        <v>5.45</v>
      </c>
      <c r="M133" s="7">
        <v>3.4416666666666669</v>
      </c>
      <c r="N133" s="7">
        <v>0</v>
      </c>
      <c r="O133" s="7">
        <v>8.5999999999999979</v>
      </c>
      <c r="P133" s="7">
        <v>0.05</v>
      </c>
      <c r="Q133" s="7">
        <v>7.0000000000000007E-2</v>
      </c>
      <c r="R133" s="7">
        <v>0.2</v>
      </c>
      <c r="S133" s="7">
        <v>3.9</v>
      </c>
      <c r="T133" s="7">
        <v>84.083333333333343</v>
      </c>
      <c r="U133" s="7">
        <v>0.26222222222222219</v>
      </c>
      <c r="V133" s="7">
        <v>4.5083333333333337</v>
      </c>
      <c r="W133" s="7">
        <v>169.91666666666671</v>
      </c>
      <c r="X133" s="7">
        <v>197.57</v>
      </c>
      <c r="Y133" s="7">
        <v>21.54545454545455</v>
      </c>
      <c r="Z133" s="7">
        <v>0.71111111111111114</v>
      </c>
      <c r="AA133" s="7">
        <v>100</v>
      </c>
    </row>
    <row r="134" spans="1:27" x14ac:dyDescent="0.2">
      <c r="B134">
        <v>133</v>
      </c>
      <c r="C134" t="s">
        <v>282</v>
      </c>
      <c r="D134" t="s">
        <v>282</v>
      </c>
      <c r="E134" t="s">
        <v>28</v>
      </c>
      <c r="F134">
        <v>0</v>
      </c>
      <c r="G134" s="7"/>
      <c r="H134" s="7"/>
      <c r="I134" s="7"/>
      <c r="J134" s="7"/>
      <c r="K134" s="7"/>
      <c r="L134" s="7"/>
      <c r="M134" s="7"/>
      <c r="N134" s="7"/>
      <c r="O134" s="7"/>
      <c r="P134" s="7"/>
      <c r="Q134" s="7"/>
      <c r="R134" s="7"/>
      <c r="S134" s="7"/>
      <c r="T134" s="7"/>
      <c r="U134" s="7"/>
      <c r="V134" s="7"/>
      <c r="W134" s="7"/>
      <c r="X134" s="7"/>
      <c r="Y134" s="7"/>
      <c r="Z134" s="7"/>
      <c r="AA134" s="7"/>
    </row>
    <row r="135" spans="1:27" x14ac:dyDescent="0.2">
      <c r="A135" t="s">
        <v>283</v>
      </c>
      <c r="B135">
        <v>134</v>
      </c>
      <c r="C135" t="s">
        <v>284</v>
      </c>
      <c r="D135" t="s">
        <v>282</v>
      </c>
      <c r="E135" t="s">
        <v>285</v>
      </c>
      <c r="F135">
        <v>21</v>
      </c>
      <c r="G135" s="8">
        <v>0</v>
      </c>
      <c r="H135" s="8">
        <v>0</v>
      </c>
      <c r="I135" s="8">
        <v>0</v>
      </c>
      <c r="J135" s="12">
        <v>0</v>
      </c>
      <c r="K135" s="8">
        <v>0</v>
      </c>
      <c r="L135" s="8">
        <v>0</v>
      </c>
      <c r="M135" s="8">
        <v>99</v>
      </c>
      <c r="N135" s="8">
        <v>0</v>
      </c>
      <c r="O135" s="8">
        <v>0</v>
      </c>
      <c r="P135" s="8">
        <v>0</v>
      </c>
      <c r="Q135" s="8">
        <v>0</v>
      </c>
      <c r="R135" s="8">
        <v>0</v>
      </c>
      <c r="S135" s="8">
        <v>0</v>
      </c>
      <c r="T135" s="8">
        <v>50</v>
      </c>
      <c r="U135" s="8">
        <v>0</v>
      </c>
      <c r="V135" s="8">
        <v>0</v>
      </c>
      <c r="W135" s="8">
        <v>0</v>
      </c>
      <c r="X135" s="8">
        <v>2</v>
      </c>
      <c r="Y135" s="8">
        <v>38700</v>
      </c>
      <c r="Z135" s="8">
        <v>0</v>
      </c>
      <c r="AA135" s="8">
        <v>100</v>
      </c>
    </row>
    <row r="136" spans="1:27" x14ac:dyDescent="0.2">
      <c r="A136" t="s">
        <v>286</v>
      </c>
      <c r="B136">
        <v>135</v>
      </c>
      <c r="C136" t="s">
        <v>287</v>
      </c>
      <c r="D136" t="s">
        <v>282</v>
      </c>
      <c r="E136" t="s">
        <v>31</v>
      </c>
      <c r="F136">
        <v>2</v>
      </c>
      <c r="G136" s="7">
        <v>675</v>
      </c>
      <c r="H136" s="7">
        <v>19</v>
      </c>
      <c r="I136" s="7">
        <v>63</v>
      </c>
      <c r="J136" s="12">
        <v>0</v>
      </c>
      <c r="K136" s="7">
        <v>8</v>
      </c>
      <c r="L136" s="7">
        <v>3</v>
      </c>
      <c r="M136" s="7">
        <v>3</v>
      </c>
      <c r="N136" s="8">
        <v>0</v>
      </c>
      <c r="O136" s="7">
        <v>0</v>
      </c>
      <c r="P136" s="7">
        <v>0.06</v>
      </c>
      <c r="Q136" s="7">
        <v>0.06</v>
      </c>
      <c r="R136" s="7">
        <v>0.4</v>
      </c>
      <c r="S136" s="7">
        <v>0</v>
      </c>
      <c r="T136" s="7">
        <v>80</v>
      </c>
      <c r="U136" s="7">
        <v>0.23</v>
      </c>
      <c r="V136" s="7">
        <v>2</v>
      </c>
      <c r="W136" s="7">
        <v>200</v>
      </c>
      <c r="X136" s="7">
        <v>430.7</v>
      </c>
      <c r="Y136" s="7">
        <v>25</v>
      </c>
      <c r="Z136" s="7">
        <v>0.8</v>
      </c>
      <c r="AA136" s="7">
        <v>100</v>
      </c>
    </row>
    <row r="137" spans="1:27" x14ac:dyDescent="0.2">
      <c r="A137" t="s">
        <v>288</v>
      </c>
      <c r="B137">
        <v>136</v>
      </c>
      <c r="C137" t="s">
        <v>289</v>
      </c>
      <c r="D137" t="s">
        <v>282</v>
      </c>
      <c r="E137" t="s">
        <v>31</v>
      </c>
      <c r="F137">
        <v>2</v>
      </c>
      <c r="G137" s="7">
        <v>418</v>
      </c>
      <c r="H137" s="7">
        <v>14.1</v>
      </c>
      <c r="I137" s="7">
        <v>16.100000000000001</v>
      </c>
      <c r="J137" s="12">
        <v>0</v>
      </c>
      <c r="K137" s="7">
        <v>54.2</v>
      </c>
      <c r="L137" s="7">
        <v>12.3</v>
      </c>
      <c r="M137" s="7">
        <v>4.4000000000000004</v>
      </c>
      <c r="N137" s="8">
        <v>0</v>
      </c>
      <c r="O137" s="7">
        <v>75</v>
      </c>
      <c r="P137" s="7">
        <v>0.2</v>
      </c>
      <c r="Q137" s="7">
        <v>0.35</v>
      </c>
      <c r="R137" s="7">
        <v>1.8</v>
      </c>
      <c r="S137" s="7">
        <v>0</v>
      </c>
      <c r="T137" s="7">
        <v>630</v>
      </c>
      <c r="U137" s="7">
        <v>0.95</v>
      </c>
      <c r="V137" s="7">
        <v>17.899999999999999</v>
      </c>
      <c r="W137" s="7">
        <v>370</v>
      </c>
      <c r="X137" s="7">
        <v>1787</v>
      </c>
      <c r="Y137" s="7">
        <v>91</v>
      </c>
      <c r="Z137" s="7">
        <v>4.5999999999999996</v>
      </c>
      <c r="AA137" s="7">
        <v>100</v>
      </c>
    </row>
    <row r="138" spans="1:27" x14ac:dyDescent="0.2">
      <c r="A138" t="s">
        <v>290</v>
      </c>
      <c r="B138">
        <v>137</v>
      </c>
      <c r="C138" t="s">
        <v>291</v>
      </c>
      <c r="D138" t="s">
        <v>282</v>
      </c>
      <c r="E138" t="s">
        <v>31</v>
      </c>
      <c r="F138">
        <v>3</v>
      </c>
      <c r="G138" s="7">
        <v>365</v>
      </c>
      <c r="H138" s="7">
        <v>11.5</v>
      </c>
      <c r="I138" s="7">
        <v>6.8</v>
      </c>
      <c r="J138" s="12">
        <v>0</v>
      </c>
      <c r="K138" s="7">
        <v>64.400000000000006</v>
      </c>
      <c r="L138" s="7">
        <v>1</v>
      </c>
      <c r="M138" s="7">
        <v>4.4000000000000004</v>
      </c>
      <c r="N138" s="8">
        <v>0</v>
      </c>
      <c r="O138" s="7">
        <v>0</v>
      </c>
      <c r="P138" s="7">
        <v>0.2</v>
      </c>
      <c r="Q138" s="7">
        <v>0.1</v>
      </c>
      <c r="R138" s="7">
        <v>2.5</v>
      </c>
      <c r="S138" s="8">
        <v>0</v>
      </c>
      <c r="T138" s="7">
        <v>460</v>
      </c>
      <c r="U138" s="7">
        <v>0.89</v>
      </c>
      <c r="V138" s="7">
        <v>16.399999999999999</v>
      </c>
      <c r="W138" s="7">
        <v>200</v>
      </c>
      <c r="X138" s="7">
        <v>99.7</v>
      </c>
      <c r="Y138" s="7">
        <v>4</v>
      </c>
      <c r="Z138" s="7">
        <v>1.1000000000000001</v>
      </c>
      <c r="AA138" s="7">
        <v>100</v>
      </c>
    </row>
    <row r="139" spans="1:27" x14ac:dyDescent="0.2">
      <c r="A139" t="s">
        <v>292</v>
      </c>
      <c r="B139">
        <v>138</v>
      </c>
      <c r="C139" t="s">
        <v>293</v>
      </c>
      <c r="D139" t="s">
        <v>282</v>
      </c>
      <c r="E139" t="s">
        <v>31</v>
      </c>
      <c r="F139">
        <v>2</v>
      </c>
      <c r="G139" s="7">
        <v>161.16666666666671</v>
      </c>
      <c r="H139" s="7">
        <v>1</v>
      </c>
      <c r="I139" s="7">
        <v>1.0666666666666671</v>
      </c>
      <c r="J139" s="12">
        <v>0</v>
      </c>
      <c r="K139" s="7">
        <v>37.533333333333331</v>
      </c>
      <c r="L139" s="7">
        <v>3.9833333333333329</v>
      </c>
      <c r="M139" s="7">
        <v>1.7</v>
      </c>
      <c r="N139" s="8">
        <v>0</v>
      </c>
      <c r="O139" s="7">
        <v>264.8</v>
      </c>
      <c r="P139" s="7">
        <v>6.1666666666666668E-2</v>
      </c>
      <c r="Q139" s="7">
        <v>0.128</v>
      </c>
      <c r="R139" s="7">
        <v>0.55999999999999994</v>
      </c>
      <c r="S139" s="7">
        <v>0.33333333333333343</v>
      </c>
      <c r="T139" s="7">
        <v>89.5</v>
      </c>
      <c r="U139" s="7">
        <v>0.19666666666666671</v>
      </c>
      <c r="V139" s="7">
        <v>3.683333333333334</v>
      </c>
      <c r="W139" s="7">
        <v>226.8333333333334</v>
      </c>
      <c r="X139" s="7">
        <v>167.42500000000001</v>
      </c>
      <c r="Y139" s="7">
        <v>23.833333333333329</v>
      </c>
      <c r="Z139" s="7">
        <v>0.15</v>
      </c>
      <c r="AA139" s="7">
        <v>74</v>
      </c>
    </row>
    <row r="140" spans="1:27" x14ac:dyDescent="0.2">
      <c r="A140" t="s">
        <v>294</v>
      </c>
      <c r="B140">
        <v>139</v>
      </c>
      <c r="C140" t="s">
        <v>295</v>
      </c>
      <c r="D140" t="s">
        <v>282</v>
      </c>
      <c r="E140" t="s">
        <v>31</v>
      </c>
      <c r="F140">
        <v>2</v>
      </c>
      <c r="G140" s="7">
        <v>208.3333333333334</v>
      </c>
      <c r="H140" s="7">
        <v>24.033333333333331</v>
      </c>
      <c r="I140" s="7">
        <v>2.083333333333333</v>
      </c>
      <c r="J140" s="12">
        <v>0</v>
      </c>
      <c r="K140" s="7">
        <v>23.366666666666671</v>
      </c>
      <c r="L140" s="7">
        <v>1.76</v>
      </c>
      <c r="M140" s="7">
        <v>13.36666666666666</v>
      </c>
      <c r="N140" s="8">
        <v>437</v>
      </c>
      <c r="O140" s="7">
        <v>0</v>
      </c>
      <c r="P140" s="7">
        <v>0.83666666666666667</v>
      </c>
      <c r="Q140" s="7">
        <v>0.17833333333333329</v>
      </c>
      <c r="R140" s="7">
        <v>1.95</v>
      </c>
      <c r="S140" s="7">
        <v>0</v>
      </c>
      <c r="T140" s="7">
        <v>1076.166666666667</v>
      </c>
      <c r="U140" s="7">
        <v>1.1259999999999999</v>
      </c>
      <c r="V140" s="7">
        <v>18.983333333333331</v>
      </c>
      <c r="W140" s="7">
        <v>412.5</v>
      </c>
      <c r="X140" s="7">
        <v>630.98</v>
      </c>
      <c r="Y140" s="7">
        <v>6028.6</v>
      </c>
      <c r="Z140" s="7">
        <v>2.36</v>
      </c>
      <c r="AA140" s="7">
        <v>100</v>
      </c>
    </row>
    <row r="141" spans="1:27" x14ac:dyDescent="0.2">
      <c r="A141" t="s">
        <v>296</v>
      </c>
      <c r="B141">
        <v>140</v>
      </c>
      <c r="C141" t="s">
        <v>297</v>
      </c>
      <c r="D141" t="s">
        <v>282</v>
      </c>
      <c r="E141" t="s">
        <v>31</v>
      </c>
      <c r="F141">
        <v>6</v>
      </c>
      <c r="G141" s="7">
        <v>71</v>
      </c>
      <c r="H141" s="7">
        <v>5.7</v>
      </c>
      <c r="I141" s="7">
        <v>1.3</v>
      </c>
      <c r="J141" s="12">
        <v>0</v>
      </c>
      <c r="K141" s="7">
        <v>9</v>
      </c>
      <c r="L141" s="7">
        <v>0</v>
      </c>
      <c r="M141" s="7">
        <v>21</v>
      </c>
      <c r="N141" s="7">
        <v>0</v>
      </c>
      <c r="O141" s="8">
        <v>0</v>
      </c>
      <c r="P141" s="7">
        <v>0</v>
      </c>
      <c r="Q141" s="8">
        <v>0.16500000000000001</v>
      </c>
      <c r="R141" s="8">
        <v>2.2000000000000002</v>
      </c>
      <c r="S141" s="7">
        <v>0</v>
      </c>
      <c r="T141" s="7">
        <v>123</v>
      </c>
      <c r="U141" s="7">
        <v>0.04</v>
      </c>
      <c r="V141" s="7">
        <v>5.7</v>
      </c>
      <c r="W141" s="7">
        <v>96</v>
      </c>
      <c r="X141" s="8">
        <v>435</v>
      </c>
      <c r="Y141" s="7">
        <v>1114</v>
      </c>
      <c r="Z141" s="8">
        <v>0.87</v>
      </c>
      <c r="AA141" s="7">
        <v>100</v>
      </c>
    </row>
    <row r="142" spans="1:27" x14ac:dyDescent="0.2">
      <c r="A142" t="s">
        <v>298</v>
      </c>
      <c r="B142">
        <v>141</v>
      </c>
      <c r="C142" t="s">
        <v>299</v>
      </c>
      <c r="D142" t="s">
        <v>282</v>
      </c>
      <c r="E142" t="s">
        <v>300</v>
      </c>
      <c r="F142">
        <v>21</v>
      </c>
      <c r="G142" s="8">
        <v>282</v>
      </c>
      <c r="H142" s="8">
        <v>0</v>
      </c>
      <c r="I142" s="8">
        <v>0</v>
      </c>
      <c r="J142" s="12">
        <v>0</v>
      </c>
      <c r="K142" s="8">
        <v>0</v>
      </c>
      <c r="L142" s="8">
        <v>0</v>
      </c>
      <c r="M142" s="8">
        <v>27.8</v>
      </c>
      <c r="N142" s="8">
        <v>0</v>
      </c>
      <c r="O142" s="8">
        <v>0</v>
      </c>
      <c r="P142" s="8">
        <v>0</v>
      </c>
      <c r="Q142" s="8">
        <v>0</v>
      </c>
      <c r="R142" s="8">
        <v>0</v>
      </c>
      <c r="S142" s="8">
        <v>0</v>
      </c>
      <c r="T142" s="8">
        <v>21.2</v>
      </c>
      <c r="U142" s="8">
        <v>0</v>
      </c>
      <c r="V142" s="8">
        <v>0.4</v>
      </c>
      <c r="W142" s="8">
        <v>1.3</v>
      </c>
      <c r="X142" s="8">
        <v>0.8</v>
      </c>
      <c r="Y142" s="8">
        <v>12300</v>
      </c>
      <c r="Z142" s="8">
        <v>0</v>
      </c>
      <c r="AA142" s="8">
        <v>100</v>
      </c>
    </row>
    <row r="143" spans="1:27" x14ac:dyDescent="0.2">
      <c r="A143" t="s">
        <v>301</v>
      </c>
      <c r="B143">
        <v>142</v>
      </c>
      <c r="C143" t="s">
        <v>302</v>
      </c>
      <c r="D143" t="s">
        <v>282</v>
      </c>
      <c r="E143" t="s">
        <v>303</v>
      </c>
      <c r="F143">
        <v>21</v>
      </c>
      <c r="G143" s="8">
        <v>127.42</v>
      </c>
      <c r="H143" s="8">
        <v>1.0589999999999999</v>
      </c>
      <c r="I143" s="8">
        <v>6.2709999999999999</v>
      </c>
      <c r="J143" s="12">
        <v>0</v>
      </c>
      <c r="K143" s="8">
        <v>16.616</v>
      </c>
      <c r="L143" s="8">
        <v>1.1160000000000001</v>
      </c>
      <c r="M143" s="8">
        <v>3.548999999999999</v>
      </c>
      <c r="N143" s="8">
        <v>0</v>
      </c>
      <c r="O143" s="8">
        <v>4169.3099999999986</v>
      </c>
      <c r="P143" s="8">
        <v>4.9099999999999998E-2</v>
      </c>
      <c r="Q143" s="8">
        <v>6.4399999999999999E-2</v>
      </c>
      <c r="R143" s="8">
        <v>1.629</v>
      </c>
      <c r="S143" s="8">
        <v>16.170000000000002</v>
      </c>
      <c r="T143" s="8">
        <v>22.54</v>
      </c>
      <c r="U143" s="8">
        <v>9.4500000000000015E-2</v>
      </c>
      <c r="V143" s="8">
        <v>0.47199999999999998</v>
      </c>
      <c r="W143" s="8">
        <v>35.31</v>
      </c>
      <c r="X143" s="8">
        <v>213.18950000000001</v>
      </c>
      <c r="Y143" s="8">
        <v>1177.3240000000001</v>
      </c>
      <c r="Z143" s="8">
        <v>0.17</v>
      </c>
      <c r="AA143" s="8">
        <v>91.15</v>
      </c>
    </row>
    <row r="144" spans="1:27" x14ac:dyDescent="0.2">
      <c r="A144" t="s">
        <v>304</v>
      </c>
      <c r="B144">
        <v>143</v>
      </c>
      <c r="C144" t="s">
        <v>305</v>
      </c>
      <c r="D144" t="s">
        <v>282</v>
      </c>
      <c r="E144" t="s">
        <v>31</v>
      </c>
      <c r="F144">
        <v>2</v>
      </c>
      <c r="G144" s="7">
        <v>110</v>
      </c>
      <c r="H144" s="7">
        <v>2</v>
      </c>
      <c r="I144" s="7">
        <v>0.4</v>
      </c>
      <c r="J144" s="12">
        <v>0</v>
      </c>
      <c r="K144" s="7">
        <v>24.5</v>
      </c>
      <c r="L144" s="7">
        <v>0.9</v>
      </c>
      <c r="M144" s="7">
        <v>3.6</v>
      </c>
      <c r="N144" s="8">
        <v>0</v>
      </c>
      <c r="O144" s="7">
        <v>357</v>
      </c>
      <c r="P144" s="7">
        <v>0.09</v>
      </c>
      <c r="Q144" s="7">
        <v>0.06</v>
      </c>
      <c r="R144" s="7">
        <v>1.7</v>
      </c>
      <c r="S144" s="7">
        <v>11</v>
      </c>
      <c r="T144" s="7">
        <v>12</v>
      </c>
      <c r="U144" s="7">
        <v>0.18</v>
      </c>
      <c r="V144" s="7">
        <v>0.8</v>
      </c>
      <c r="W144" s="7">
        <v>18</v>
      </c>
      <c r="X144" s="7">
        <v>129.6</v>
      </c>
      <c r="Y144" s="7">
        <v>890</v>
      </c>
      <c r="Z144" s="7">
        <v>0.3</v>
      </c>
      <c r="AA144" s="7">
        <v>100</v>
      </c>
    </row>
    <row r="145" spans="1:27" x14ac:dyDescent="0.2">
      <c r="A145" t="s">
        <v>306</v>
      </c>
      <c r="B145">
        <v>144</v>
      </c>
      <c r="C145" t="s">
        <v>307</v>
      </c>
      <c r="D145" t="s">
        <v>282</v>
      </c>
      <c r="E145" t="s">
        <v>31</v>
      </c>
      <c r="F145">
        <v>21</v>
      </c>
      <c r="G145" s="8">
        <v>209.2</v>
      </c>
      <c r="H145" s="8">
        <v>3.9430000000000001</v>
      </c>
      <c r="I145" s="8">
        <v>14.499000000000001</v>
      </c>
      <c r="J145" s="12">
        <v>0</v>
      </c>
      <c r="K145" s="8">
        <v>16.308</v>
      </c>
      <c r="L145" s="8">
        <v>2.734</v>
      </c>
      <c r="M145" s="8">
        <v>1.343</v>
      </c>
      <c r="N145" s="8">
        <v>0</v>
      </c>
      <c r="O145" s="8">
        <v>2417.23</v>
      </c>
      <c r="P145" s="8">
        <v>8.1100000000000005E-2</v>
      </c>
      <c r="Q145" s="8">
        <v>8.4599999999999995E-2</v>
      </c>
      <c r="R145" s="8">
        <v>0.94800000000000006</v>
      </c>
      <c r="S145" s="8">
        <v>11.71</v>
      </c>
      <c r="T145" s="8">
        <v>65.34</v>
      </c>
      <c r="U145" s="8">
        <v>0.15140000000000001</v>
      </c>
      <c r="V145" s="8">
        <v>1.909</v>
      </c>
      <c r="W145" s="8">
        <v>76.959999999999994</v>
      </c>
      <c r="X145" s="8">
        <v>344.18799999999999</v>
      </c>
      <c r="Y145" s="8">
        <v>20.74</v>
      </c>
      <c r="Z145" s="8">
        <v>0.44700000000000012</v>
      </c>
      <c r="AA145" s="8">
        <v>91.08</v>
      </c>
    </row>
    <row r="146" spans="1:27" x14ac:dyDescent="0.2">
      <c r="A146" t="s">
        <v>308</v>
      </c>
      <c r="B146">
        <v>145</v>
      </c>
      <c r="C146" t="s">
        <v>309</v>
      </c>
      <c r="D146" t="s">
        <v>282</v>
      </c>
      <c r="E146" t="s">
        <v>31</v>
      </c>
      <c r="F146">
        <v>1</v>
      </c>
      <c r="G146" s="7">
        <v>168.46666666666661</v>
      </c>
      <c r="H146" s="7">
        <v>6.5466666666666669</v>
      </c>
      <c r="I146" s="7">
        <v>6.7400000000000011</v>
      </c>
      <c r="J146" s="12">
        <v>0</v>
      </c>
      <c r="K146" s="7">
        <v>21.246666666666659</v>
      </c>
      <c r="L146" s="7">
        <v>5.2928571428571427</v>
      </c>
      <c r="M146" s="7">
        <v>4.5866666666666669</v>
      </c>
      <c r="N146" s="7">
        <v>17</v>
      </c>
      <c r="O146" s="7">
        <v>1739.3846153846159</v>
      </c>
      <c r="P146" s="7">
        <v>13.46466666666667</v>
      </c>
      <c r="Q146" s="7">
        <v>0.21571428571428569</v>
      </c>
      <c r="R146" s="7">
        <v>1.45</v>
      </c>
      <c r="S146" s="7">
        <v>20.100000000000001</v>
      </c>
      <c r="T146" s="7">
        <v>178.33333333333329</v>
      </c>
      <c r="U146" s="7">
        <v>0.48384615384615381</v>
      </c>
      <c r="V146" s="7">
        <v>5.62</v>
      </c>
      <c r="W146" s="7">
        <v>162.4666666666667</v>
      </c>
      <c r="X146" s="7">
        <v>336.57857142857142</v>
      </c>
      <c r="Y146" s="7">
        <v>431.14285714285711</v>
      </c>
      <c r="Z146" s="7">
        <v>1.092307692307692</v>
      </c>
      <c r="AA146" s="7">
        <v>90.333333333333314</v>
      </c>
    </row>
    <row r="147" spans="1:27" x14ac:dyDescent="0.2">
      <c r="B147">
        <v>146</v>
      </c>
      <c r="C147" t="s">
        <v>310</v>
      </c>
      <c r="D147" t="s">
        <v>310</v>
      </c>
      <c r="E147" t="s">
        <v>28</v>
      </c>
      <c r="F147">
        <v>0</v>
      </c>
      <c r="G147" s="7"/>
      <c r="H147" s="7"/>
      <c r="I147" s="7"/>
      <c r="J147" s="7"/>
      <c r="K147" s="7"/>
      <c r="L147" s="7"/>
      <c r="M147" s="7"/>
      <c r="N147" s="7"/>
      <c r="O147" s="7"/>
      <c r="P147" s="7"/>
      <c r="Q147" s="7"/>
      <c r="R147" s="7"/>
      <c r="S147" s="7"/>
      <c r="T147" s="7"/>
      <c r="U147" s="7"/>
      <c r="V147" s="7"/>
      <c r="W147" s="7"/>
      <c r="X147" s="7"/>
      <c r="Y147" s="7"/>
      <c r="Z147" s="7"/>
      <c r="AA147" s="7"/>
    </row>
    <row r="148" spans="1:27" x14ac:dyDescent="0.2">
      <c r="A148" t="s">
        <v>311</v>
      </c>
      <c r="B148">
        <v>147</v>
      </c>
      <c r="C148" t="s">
        <v>312</v>
      </c>
      <c r="D148" t="s">
        <v>310</v>
      </c>
      <c r="E148" t="s">
        <v>285</v>
      </c>
      <c r="F148">
        <v>21</v>
      </c>
      <c r="G148" s="8">
        <v>440</v>
      </c>
      <c r="H148" s="8">
        <v>10.199999999999999</v>
      </c>
      <c r="I148" s="8">
        <v>17.600000000000001</v>
      </c>
      <c r="J148" s="12">
        <v>0</v>
      </c>
      <c r="K148" s="8">
        <v>60.3</v>
      </c>
      <c r="L148" s="8">
        <v>2.9</v>
      </c>
      <c r="M148" s="8">
        <v>5.45</v>
      </c>
      <c r="N148" s="8">
        <v>0</v>
      </c>
      <c r="O148" s="8">
        <v>6</v>
      </c>
      <c r="P148" s="8">
        <v>0.44800000000000001</v>
      </c>
      <c r="Q148" s="8">
        <v>0.255</v>
      </c>
      <c r="R148" s="8">
        <v>5.4</v>
      </c>
      <c r="S148" s="8">
        <v>0.3</v>
      </c>
      <c r="T148" s="8">
        <v>21</v>
      </c>
      <c r="U148" s="8">
        <v>0.126</v>
      </c>
      <c r="V148" s="8">
        <v>4.1100000000000003</v>
      </c>
      <c r="W148" s="8">
        <v>115</v>
      </c>
      <c r="X148" s="8">
        <v>181</v>
      </c>
      <c r="Y148" s="8">
        <v>1860</v>
      </c>
      <c r="Z148" s="8">
        <v>0.6</v>
      </c>
      <c r="AA148" s="8">
        <v>100</v>
      </c>
    </row>
    <row r="149" spans="1:27" x14ac:dyDescent="0.2">
      <c r="A149" t="s">
        <v>313</v>
      </c>
      <c r="B149">
        <v>148</v>
      </c>
      <c r="C149" t="s">
        <v>314</v>
      </c>
      <c r="D149" t="s">
        <v>310</v>
      </c>
      <c r="E149" t="s">
        <v>31</v>
      </c>
      <c r="F149">
        <v>1</v>
      </c>
      <c r="G149" s="7">
        <v>452.85714285714278</v>
      </c>
      <c r="H149" s="7">
        <v>11.785714285714279</v>
      </c>
      <c r="I149" s="7">
        <v>18.100000000000001</v>
      </c>
      <c r="J149" s="12">
        <v>0</v>
      </c>
      <c r="K149" s="7">
        <v>60.685714285714283</v>
      </c>
      <c r="L149" s="7">
        <v>3.333333333333333</v>
      </c>
      <c r="M149" s="7">
        <v>2.585714285714285</v>
      </c>
      <c r="N149" s="7">
        <v>569.4</v>
      </c>
      <c r="O149" s="7">
        <v>0</v>
      </c>
      <c r="P149" s="7">
        <v>0.34833333333333327</v>
      </c>
      <c r="Q149" s="7">
        <v>0.05</v>
      </c>
      <c r="R149" s="7">
        <v>1.4750000000000001</v>
      </c>
      <c r="S149" s="7">
        <v>0</v>
      </c>
      <c r="T149" s="7">
        <v>47.857142857142847</v>
      </c>
      <c r="U149" s="7">
        <v>0.12</v>
      </c>
      <c r="V149" s="7">
        <v>2.3857142857142861</v>
      </c>
      <c r="W149" s="7">
        <v>157.85714285714289</v>
      </c>
      <c r="X149" s="7">
        <v>143.80000000000001</v>
      </c>
      <c r="Y149" s="7">
        <v>858.25</v>
      </c>
      <c r="Z149" s="7">
        <v>0.28000000000000003</v>
      </c>
      <c r="AA149" s="7">
        <v>100</v>
      </c>
    </row>
    <row r="150" spans="1:27" x14ac:dyDescent="0.2">
      <c r="A150" t="s">
        <v>315</v>
      </c>
      <c r="B150">
        <v>149</v>
      </c>
      <c r="C150" t="s">
        <v>316</v>
      </c>
      <c r="D150" t="s">
        <v>310</v>
      </c>
      <c r="E150" t="s">
        <v>285</v>
      </c>
      <c r="F150">
        <v>21</v>
      </c>
      <c r="G150" s="8">
        <v>390</v>
      </c>
      <c r="H150" s="8">
        <v>6.65</v>
      </c>
      <c r="I150" s="8">
        <v>2.19</v>
      </c>
      <c r="J150" s="12">
        <v>0</v>
      </c>
      <c r="K150" s="8">
        <v>83.14</v>
      </c>
      <c r="L150" s="8">
        <v>1.3</v>
      </c>
      <c r="M150" s="8">
        <v>2.89</v>
      </c>
      <c r="N150" s="8">
        <v>0</v>
      </c>
      <c r="O150" s="8">
        <v>0</v>
      </c>
      <c r="P150" s="8">
        <v>1.1950000000000001</v>
      </c>
      <c r="Q150" s="8">
        <v>1.4590000000000001</v>
      </c>
      <c r="R150" s="8">
        <v>23.006</v>
      </c>
      <c r="S150" s="8">
        <v>2.4</v>
      </c>
      <c r="T150" s="8">
        <v>860</v>
      </c>
      <c r="U150" s="8">
        <v>0.23100000000000001</v>
      </c>
      <c r="V150" s="8">
        <v>53.01</v>
      </c>
      <c r="W150" s="8">
        <v>273</v>
      </c>
      <c r="X150" s="8">
        <v>281</v>
      </c>
      <c r="Y150" s="8">
        <v>32</v>
      </c>
      <c r="Z150" s="8">
        <v>10.92</v>
      </c>
      <c r="AA150" s="8">
        <v>100</v>
      </c>
    </row>
    <row r="151" spans="1:27" x14ac:dyDescent="0.2">
      <c r="A151" t="s">
        <v>317</v>
      </c>
      <c r="B151">
        <v>150</v>
      </c>
      <c r="C151" t="s">
        <v>318</v>
      </c>
      <c r="D151" t="s">
        <v>310</v>
      </c>
      <c r="E151" t="s">
        <v>31</v>
      </c>
      <c r="F151">
        <v>1</v>
      </c>
      <c r="G151" s="7">
        <v>325.89473684210532</v>
      </c>
      <c r="H151" s="7">
        <v>4.1473684210526311</v>
      </c>
      <c r="I151" s="7">
        <v>1.331578947368421</v>
      </c>
      <c r="J151" s="12">
        <v>0</v>
      </c>
      <c r="K151" s="7">
        <v>74.752631578947373</v>
      </c>
      <c r="L151" s="7">
        <v>4.4411764705882364</v>
      </c>
      <c r="M151" s="7">
        <v>1.521052631578947</v>
      </c>
      <c r="N151" s="7">
        <v>16.666666666666661</v>
      </c>
      <c r="O151" s="7">
        <v>1.25</v>
      </c>
      <c r="P151" s="7">
        <v>0.1247368421052632</v>
      </c>
      <c r="Q151" s="7">
        <v>4.3529411764705879E-2</v>
      </c>
      <c r="R151" s="7">
        <v>0.96470588235294119</v>
      </c>
      <c r="S151" s="7">
        <v>0.19411764705882359</v>
      </c>
      <c r="T151" s="7">
        <v>46.842105263157897</v>
      </c>
      <c r="U151" s="7">
        <v>0.24</v>
      </c>
      <c r="V151" s="7">
        <v>3.8473684210526309</v>
      </c>
      <c r="W151" s="7">
        <v>109.73684210526319</v>
      </c>
      <c r="X151" s="7">
        <v>291.13529411764699</v>
      </c>
      <c r="Y151" s="7">
        <v>237.88888888888891</v>
      </c>
      <c r="Z151" s="7">
        <v>1.0647058823529409</v>
      </c>
      <c r="AA151" s="7">
        <v>100</v>
      </c>
    </row>
    <row r="152" spans="1:27" x14ac:dyDescent="0.2">
      <c r="B152">
        <v>151</v>
      </c>
      <c r="C152" t="s">
        <v>319</v>
      </c>
      <c r="D152" t="s">
        <v>319</v>
      </c>
      <c r="E152" t="s">
        <v>28</v>
      </c>
      <c r="F152">
        <v>0</v>
      </c>
      <c r="G152" s="7"/>
      <c r="H152" s="7"/>
      <c r="I152" s="7"/>
      <c r="J152" s="7"/>
      <c r="K152" s="7"/>
      <c r="L152" s="7"/>
      <c r="M152" s="7"/>
      <c r="N152" s="7"/>
      <c r="O152" s="7"/>
      <c r="P152" s="7"/>
      <c r="Q152" s="7"/>
      <c r="R152" s="7"/>
      <c r="S152" s="7"/>
      <c r="T152" s="7"/>
      <c r="U152" s="7"/>
      <c r="V152" s="7"/>
      <c r="W152" s="7"/>
      <c r="X152" s="7"/>
      <c r="Y152" s="7"/>
      <c r="Z152" s="7"/>
      <c r="AA152" s="7"/>
    </row>
    <row r="153" spans="1:27" x14ac:dyDescent="0.2">
      <c r="A153" t="s">
        <v>320</v>
      </c>
      <c r="B153">
        <v>152</v>
      </c>
      <c r="C153" t="s">
        <v>321</v>
      </c>
      <c r="D153" t="s">
        <v>319</v>
      </c>
      <c r="E153" t="s">
        <v>31</v>
      </c>
      <c r="F153">
        <v>1</v>
      </c>
      <c r="G153" s="7">
        <v>248</v>
      </c>
      <c r="H153" s="7">
        <v>8</v>
      </c>
      <c r="I153" s="7">
        <v>1.2</v>
      </c>
      <c r="J153" s="12">
        <v>0</v>
      </c>
      <c r="K153" s="7">
        <v>50</v>
      </c>
      <c r="L153" s="7">
        <v>9.1</v>
      </c>
      <c r="M153" s="7">
        <v>0.8</v>
      </c>
      <c r="N153" s="7">
        <v>0</v>
      </c>
      <c r="O153" s="7">
        <v>0</v>
      </c>
      <c r="P153" s="7">
        <v>0.1</v>
      </c>
      <c r="Q153" s="7">
        <v>0.28999999999999998</v>
      </c>
      <c r="R153" s="7">
        <v>2.4</v>
      </c>
      <c r="S153" s="7">
        <v>0</v>
      </c>
      <c r="T153" s="7">
        <v>10</v>
      </c>
      <c r="U153" s="7">
        <v>0.15</v>
      </c>
      <c r="V153" s="7">
        <v>1.5</v>
      </c>
      <c r="W153" s="7">
        <v>95</v>
      </c>
      <c r="X153" s="7">
        <v>91</v>
      </c>
      <c r="Y153" s="7">
        <v>530</v>
      </c>
      <c r="Z153" s="7">
        <v>0.9</v>
      </c>
      <c r="AA153" s="7">
        <v>100</v>
      </c>
    </row>
    <row r="154" spans="1:27" x14ac:dyDescent="0.2">
      <c r="A154" t="s">
        <v>322</v>
      </c>
      <c r="B154">
        <v>153</v>
      </c>
      <c r="C154" t="s">
        <v>323</v>
      </c>
      <c r="D154" t="s">
        <v>319</v>
      </c>
      <c r="E154" t="s">
        <v>31</v>
      </c>
      <c r="F154">
        <v>3</v>
      </c>
      <c r="G154" s="7">
        <v>295</v>
      </c>
      <c r="H154" s="7">
        <v>6.7</v>
      </c>
      <c r="I154" s="7">
        <v>8.85</v>
      </c>
      <c r="J154" s="12">
        <v>0</v>
      </c>
      <c r="K154" s="7">
        <v>46.5</v>
      </c>
      <c r="L154" s="8">
        <v>3.1</v>
      </c>
      <c r="M154" s="7">
        <v>0.95</v>
      </c>
      <c r="N154" s="7">
        <v>0</v>
      </c>
      <c r="O154" s="7">
        <v>0</v>
      </c>
      <c r="P154" s="7">
        <v>0.27500000000000002</v>
      </c>
      <c r="Q154" s="7">
        <v>0.3</v>
      </c>
      <c r="R154" s="7">
        <v>2.4</v>
      </c>
      <c r="S154" s="7">
        <v>0</v>
      </c>
      <c r="T154" s="7">
        <v>17.5</v>
      </c>
      <c r="U154" s="8">
        <v>9.7000000000000003E-2</v>
      </c>
      <c r="V154" s="7">
        <v>1.8</v>
      </c>
      <c r="W154" s="7">
        <v>102.5</v>
      </c>
      <c r="X154" s="7">
        <v>66</v>
      </c>
      <c r="Y154" s="7">
        <v>330.5</v>
      </c>
      <c r="Z154" s="7">
        <v>0.9</v>
      </c>
      <c r="AA154" s="7">
        <v>100</v>
      </c>
    </row>
    <row r="155" spans="1:27" x14ac:dyDescent="0.2">
      <c r="A155" t="s">
        <v>324</v>
      </c>
      <c r="B155">
        <v>154</v>
      </c>
      <c r="C155" t="s">
        <v>325</v>
      </c>
      <c r="D155" t="s">
        <v>319</v>
      </c>
      <c r="E155" t="s">
        <v>31</v>
      </c>
      <c r="F155">
        <v>1</v>
      </c>
      <c r="G155" s="7">
        <v>406.88235294117652</v>
      </c>
      <c r="H155" s="7">
        <v>4.1823529411764708</v>
      </c>
      <c r="I155" s="7">
        <v>10.194117647058819</v>
      </c>
      <c r="J155" s="12">
        <v>0</v>
      </c>
      <c r="K155" s="7">
        <v>73.776470588235298</v>
      </c>
      <c r="L155" s="7">
        <v>0.73</v>
      </c>
      <c r="M155" s="7">
        <v>1.111764705882353</v>
      </c>
      <c r="N155" s="7">
        <v>3.0909090909090908</v>
      </c>
      <c r="O155" s="7">
        <v>154.25</v>
      </c>
      <c r="P155" s="7">
        <v>0.19066666666666671</v>
      </c>
      <c r="Q155" s="7">
        <v>0.1409090909090909</v>
      </c>
      <c r="R155" s="7">
        <v>0.83636363636363631</v>
      </c>
      <c r="S155" s="7">
        <v>1.428571428571428E-2</v>
      </c>
      <c r="T155" s="7">
        <v>132.93333333333331</v>
      </c>
      <c r="U155" s="7">
        <v>0.1875</v>
      </c>
      <c r="V155" s="7">
        <v>2.36</v>
      </c>
      <c r="W155" s="7">
        <v>82.6</v>
      </c>
      <c r="X155" s="7">
        <v>23.25</v>
      </c>
      <c r="Y155" s="7">
        <v>98.5</v>
      </c>
      <c r="Z155" s="7">
        <v>0.6</v>
      </c>
      <c r="AA155" s="7">
        <v>100</v>
      </c>
    </row>
    <row r="156" spans="1:27" x14ac:dyDescent="0.2">
      <c r="A156" t="s">
        <v>326</v>
      </c>
      <c r="B156">
        <v>155</v>
      </c>
      <c r="C156" t="s">
        <v>327</v>
      </c>
      <c r="D156" t="s">
        <v>319</v>
      </c>
      <c r="E156" t="s">
        <v>31</v>
      </c>
      <c r="F156">
        <v>1</v>
      </c>
      <c r="G156" s="7">
        <v>274.17241379310337</v>
      </c>
      <c r="H156" s="7">
        <v>3.2706896551724141</v>
      </c>
      <c r="I156" s="7">
        <v>7.8120689655172413</v>
      </c>
      <c r="J156" s="12">
        <v>0</v>
      </c>
      <c r="K156" s="7">
        <v>47.560344827586214</v>
      </c>
      <c r="L156" s="7">
        <v>1.714814814814815</v>
      </c>
      <c r="M156" s="7">
        <v>0.96034482758620676</v>
      </c>
      <c r="N156" s="7">
        <v>37.535714285714278</v>
      </c>
      <c r="O156" s="7">
        <v>131.57142857142861</v>
      </c>
      <c r="P156" s="7">
        <v>0.14812500000000001</v>
      </c>
      <c r="Q156" s="7">
        <v>8.666666666666667E-2</v>
      </c>
      <c r="R156" s="7">
        <v>1.1708333333333329</v>
      </c>
      <c r="S156" s="7">
        <v>0.20799999999999999</v>
      </c>
      <c r="T156" s="7">
        <v>102.8235294117647</v>
      </c>
      <c r="U156" s="7">
        <v>0.38181818181818178</v>
      </c>
      <c r="V156" s="7">
        <v>2.78</v>
      </c>
      <c r="W156" s="7">
        <v>78.057142857142864</v>
      </c>
      <c r="X156" s="7">
        <v>113.9285714285714</v>
      </c>
      <c r="Y156" s="7">
        <v>53.571428571428569</v>
      </c>
      <c r="Z156" s="7">
        <v>1.0909090909090911</v>
      </c>
      <c r="AA156" s="7">
        <v>100</v>
      </c>
    </row>
    <row r="157" spans="1:27" x14ac:dyDescent="0.2">
      <c r="A157" t="s">
        <v>328</v>
      </c>
      <c r="B157">
        <v>156</v>
      </c>
      <c r="C157" t="s">
        <v>329</v>
      </c>
      <c r="D157" t="s">
        <v>319</v>
      </c>
      <c r="E157" t="s">
        <v>31</v>
      </c>
      <c r="F157">
        <v>1</v>
      </c>
      <c r="G157" s="7">
        <v>389.125</v>
      </c>
      <c r="H157" s="7">
        <v>5.0875000000000004</v>
      </c>
      <c r="I157" s="7">
        <v>20.362500000000001</v>
      </c>
      <c r="J157" s="12">
        <v>0</v>
      </c>
      <c r="K157" s="7">
        <v>46.412500000000001</v>
      </c>
      <c r="L157" s="7">
        <v>1.8142857142857149</v>
      </c>
      <c r="M157" s="7">
        <v>1.9125000000000001</v>
      </c>
      <c r="N157" s="7">
        <v>0.25</v>
      </c>
      <c r="O157" s="7">
        <v>0</v>
      </c>
      <c r="P157" s="7">
        <v>0.19375000000000001</v>
      </c>
      <c r="Q157" s="7">
        <v>2.2499999999999999E-2</v>
      </c>
      <c r="R157" s="7">
        <v>2.5</v>
      </c>
      <c r="S157" s="7">
        <v>0</v>
      </c>
      <c r="T157" s="7">
        <v>204.125</v>
      </c>
      <c r="U157" s="7">
        <v>0.47499999999999998</v>
      </c>
      <c r="V157" s="7">
        <v>3.6124999999999998</v>
      </c>
      <c r="W157" s="7">
        <v>66.75</v>
      </c>
      <c r="X157" s="7">
        <v>33.5</v>
      </c>
      <c r="Y157" s="7">
        <v>63</v>
      </c>
      <c r="Z157" s="7">
        <v>0.9</v>
      </c>
      <c r="AA157" s="7">
        <v>100</v>
      </c>
    </row>
    <row r="158" spans="1:27" x14ac:dyDescent="0.2">
      <c r="A158" t="s">
        <v>330</v>
      </c>
      <c r="B158">
        <v>157</v>
      </c>
      <c r="C158" t="s">
        <v>331</v>
      </c>
      <c r="D158" t="s">
        <v>319</v>
      </c>
      <c r="E158" t="s">
        <v>303</v>
      </c>
      <c r="F158">
        <v>21</v>
      </c>
      <c r="G158" s="8">
        <v>133.83000000000001</v>
      </c>
      <c r="H158" s="8">
        <v>4.7669999999999986</v>
      </c>
      <c r="I158" s="8">
        <v>4.4099999999999993</v>
      </c>
      <c r="J158" s="12">
        <v>0</v>
      </c>
      <c r="K158" s="8">
        <v>19.965</v>
      </c>
      <c r="L158" s="8">
        <v>1.47</v>
      </c>
      <c r="M158" s="8">
        <v>0.84199999999999997</v>
      </c>
      <c r="N158" s="8">
        <v>0</v>
      </c>
      <c r="O158" s="8">
        <v>28.08</v>
      </c>
      <c r="P158" s="8">
        <v>8.5000000000000006E-2</v>
      </c>
      <c r="Q158" s="8">
        <v>5.2499999999999998E-2</v>
      </c>
      <c r="R158" s="8">
        <v>0.38800000000000001</v>
      </c>
      <c r="S158" s="8">
        <v>2.04</v>
      </c>
      <c r="T158" s="8">
        <v>53.27</v>
      </c>
      <c r="U158" s="8">
        <v>0.38800000000000001</v>
      </c>
      <c r="V158" s="8">
        <v>1.742</v>
      </c>
      <c r="W158" s="8">
        <v>64.94</v>
      </c>
      <c r="X158" s="8">
        <v>202.84299999999999</v>
      </c>
      <c r="Y158" s="8">
        <v>10.86</v>
      </c>
      <c r="Z158" s="8">
        <v>0.61899999999999999</v>
      </c>
      <c r="AA158" s="8">
        <v>99.97</v>
      </c>
    </row>
    <row r="159" spans="1:27" x14ac:dyDescent="0.2">
      <c r="A159" t="s">
        <v>332</v>
      </c>
      <c r="B159">
        <v>158</v>
      </c>
      <c r="C159" t="s">
        <v>333</v>
      </c>
      <c r="D159" t="s">
        <v>319</v>
      </c>
      <c r="E159" t="s">
        <v>303</v>
      </c>
      <c r="F159">
        <v>21</v>
      </c>
      <c r="G159" s="8">
        <v>144.81</v>
      </c>
      <c r="H159" s="8">
        <v>7.992</v>
      </c>
      <c r="I159" s="8">
        <v>5.99</v>
      </c>
      <c r="J159" s="12">
        <v>0</v>
      </c>
      <c r="K159" s="8">
        <v>16.184000000000001</v>
      </c>
      <c r="L159" s="8">
        <v>1.1200000000000001</v>
      </c>
      <c r="M159" s="8">
        <v>1.923</v>
      </c>
      <c r="N159" s="8">
        <v>4.2699999999999996</v>
      </c>
      <c r="O159" s="8">
        <v>973.69999999999993</v>
      </c>
      <c r="P159" s="8">
        <v>0.152</v>
      </c>
      <c r="Q159" s="8">
        <v>0.20180000000000001</v>
      </c>
      <c r="R159" s="8">
        <v>2.6509999999999989</v>
      </c>
      <c r="S159" s="8">
        <v>6.66</v>
      </c>
      <c r="T159" s="8">
        <v>94.100000000000009</v>
      </c>
      <c r="U159" s="8">
        <v>0.32869999999999999</v>
      </c>
      <c r="V159" s="8">
        <v>2.0089999999999999</v>
      </c>
      <c r="W159" s="8">
        <v>127.73</v>
      </c>
      <c r="X159" s="8">
        <v>148.631</v>
      </c>
      <c r="Y159" s="8">
        <v>414.77699999999999</v>
      </c>
      <c r="Z159" s="8">
        <v>0.76800000000000013</v>
      </c>
      <c r="AA159" s="8">
        <v>90.649999999999991</v>
      </c>
    </row>
    <row r="160" spans="1:27" x14ac:dyDescent="0.2">
      <c r="A160" t="s">
        <v>334</v>
      </c>
      <c r="B160">
        <v>159</v>
      </c>
      <c r="C160" t="s">
        <v>335</v>
      </c>
      <c r="D160" t="s">
        <v>319</v>
      </c>
      <c r="E160" t="s">
        <v>31</v>
      </c>
      <c r="F160">
        <v>1</v>
      </c>
      <c r="G160" s="7">
        <v>169.6</v>
      </c>
      <c r="H160" s="7">
        <v>4.84</v>
      </c>
      <c r="I160" s="7">
        <v>5.92</v>
      </c>
      <c r="J160" s="12">
        <v>0</v>
      </c>
      <c r="K160" s="7">
        <v>24.34</v>
      </c>
      <c r="L160" s="7">
        <v>0.65</v>
      </c>
      <c r="M160" s="7">
        <v>1.1399999999999999</v>
      </c>
      <c r="N160" s="7">
        <v>24</v>
      </c>
      <c r="O160" s="7">
        <v>0</v>
      </c>
      <c r="P160" s="7">
        <v>0.25750000000000001</v>
      </c>
      <c r="Q160" s="7">
        <v>0.06</v>
      </c>
      <c r="R160" s="7">
        <v>2.2333333333333329</v>
      </c>
      <c r="S160" s="7">
        <v>0</v>
      </c>
      <c r="T160" s="7">
        <v>63.6</v>
      </c>
      <c r="U160" s="7">
        <v>0.15</v>
      </c>
      <c r="V160" s="7">
        <v>1.32</v>
      </c>
      <c r="W160" s="7">
        <v>79.599999999999994</v>
      </c>
      <c r="X160" s="7">
        <v>115.75</v>
      </c>
      <c r="Y160" s="7">
        <v>212.8</v>
      </c>
      <c r="Z160" s="7">
        <v>1.2</v>
      </c>
      <c r="AA160" s="7">
        <v>100</v>
      </c>
    </row>
    <row r="161" spans="1:27" x14ac:dyDescent="0.2">
      <c r="A161" t="s">
        <v>336</v>
      </c>
      <c r="B161">
        <v>160</v>
      </c>
      <c r="C161" t="s">
        <v>337</v>
      </c>
      <c r="D161" t="s">
        <v>319</v>
      </c>
      <c r="E161" t="s">
        <v>303</v>
      </c>
      <c r="F161">
        <v>21</v>
      </c>
      <c r="G161" s="8">
        <v>196.39</v>
      </c>
      <c r="H161" s="8">
        <v>3.5489999999999999</v>
      </c>
      <c r="I161" s="8">
        <v>7.4699999999999989</v>
      </c>
      <c r="J161" s="12">
        <v>0</v>
      </c>
      <c r="K161" s="8">
        <v>27.984000000000002</v>
      </c>
      <c r="L161" s="8">
        <v>0.48199999999999998</v>
      </c>
      <c r="M161" s="8">
        <v>1.4370000000000001</v>
      </c>
      <c r="N161" s="8">
        <v>6.1000000000000014</v>
      </c>
      <c r="O161" s="8">
        <v>1785.35</v>
      </c>
      <c r="P161" s="8">
        <v>7.3200000000000001E-2</v>
      </c>
      <c r="Q161" s="8">
        <v>0.1186</v>
      </c>
      <c r="R161" s="8">
        <v>1.8169999999999999</v>
      </c>
      <c r="S161" s="8">
        <v>2.76</v>
      </c>
      <c r="T161" s="8">
        <v>34.61</v>
      </c>
      <c r="U161" s="8">
        <v>0.1376</v>
      </c>
      <c r="V161" s="8">
        <v>0.8450000000000002</v>
      </c>
      <c r="W161" s="8">
        <v>53.66</v>
      </c>
      <c r="X161" s="8">
        <v>76.552999999999997</v>
      </c>
      <c r="Y161" s="8">
        <v>406.61399999999998</v>
      </c>
      <c r="Z161" s="8">
        <v>0.54400000000000004</v>
      </c>
      <c r="AA161" s="8">
        <v>96.460000000000008</v>
      </c>
    </row>
    <row r="162" spans="1:27" x14ac:dyDescent="0.2">
      <c r="A162" t="s">
        <v>338</v>
      </c>
      <c r="B162">
        <v>161</v>
      </c>
      <c r="C162" t="s">
        <v>339</v>
      </c>
      <c r="D162" t="s">
        <v>319</v>
      </c>
      <c r="E162" t="s">
        <v>31</v>
      </c>
      <c r="F162">
        <v>1</v>
      </c>
      <c r="G162" s="7">
        <v>180</v>
      </c>
      <c r="H162" s="7">
        <v>3</v>
      </c>
      <c r="I162" s="7">
        <v>0.3</v>
      </c>
      <c r="J162" s="12">
        <v>0</v>
      </c>
      <c r="K162" s="7">
        <v>39.799999999999997</v>
      </c>
      <c r="L162" s="7">
        <v>0.2</v>
      </c>
      <c r="M162" s="7">
        <v>0.2</v>
      </c>
      <c r="N162" s="7">
        <v>0</v>
      </c>
      <c r="O162" s="7">
        <v>0</v>
      </c>
      <c r="P162" s="7">
        <v>0.05</v>
      </c>
      <c r="Q162" s="7">
        <v>0.1</v>
      </c>
      <c r="R162" s="7">
        <v>2.6</v>
      </c>
      <c r="S162" s="7">
        <v>0</v>
      </c>
      <c r="T162" s="7">
        <v>25</v>
      </c>
      <c r="U162" s="7">
        <v>0.1</v>
      </c>
      <c r="V162" s="7">
        <v>0.4</v>
      </c>
      <c r="W162" s="7">
        <v>27</v>
      </c>
      <c r="X162" s="7">
        <v>38</v>
      </c>
      <c r="Y162" s="7">
        <v>1</v>
      </c>
      <c r="Z162" s="7">
        <v>0.6</v>
      </c>
      <c r="AA162" s="7">
        <v>100</v>
      </c>
    </row>
    <row r="163" spans="1:27" x14ac:dyDescent="0.2">
      <c r="A163" t="s">
        <v>340</v>
      </c>
      <c r="B163">
        <v>162</v>
      </c>
      <c r="C163" t="s">
        <v>341</v>
      </c>
      <c r="D163" t="s">
        <v>319</v>
      </c>
      <c r="E163" t="s">
        <v>303</v>
      </c>
      <c r="F163">
        <v>21</v>
      </c>
      <c r="G163" s="8">
        <v>143.22</v>
      </c>
      <c r="H163" s="8">
        <v>3.2429999999999999</v>
      </c>
      <c r="I163" s="8">
        <v>6.2960000000000003</v>
      </c>
      <c r="J163" s="12">
        <v>0</v>
      </c>
      <c r="K163" s="8">
        <v>18.17400000000001</v>
      </c>
      <c r="L163" s="8">
        <v>1.044</v>
      </c>
      <c r="M163" s="8">
        <v>1.3963000000000001</v>
      </c>
      <c r="N163" s="8">
        <v>6.1000000000000014</v>
      </c>
      <c r="O163" s="8">
        <v>433.51</v>
      </c>
      <c r="P163" s="8">
        <v>6.9799999999999987E-2</v>
      </c>
      <c r="Q163" s="8">
        <v>8.7600000000000025E-2</v>
      </c>
      <c r="R163" s="8">
        <v>1.222</v>
      </c>
      <c r="S163" s="8">
        <v>3.98</v>
      </c>
      <c r="T163" s="8">
        <v>29.63</v>
      </c>
      <c r="U163" s="8">
        <v>0.10613</v>
      </c>
      <c r="V163" s="8">
        <v>0.75600000000000023</v>
      </c>
      <c r="W163" s="8">
        <v>50.38</v>
      </c>
      <c r="X163" s="8">
        <v>114.461</v>
      </c>
      <c r="Y163" s="8">
        <v>405.81299999999999</v>
      </c>
      <c r="Z163" s="8">
        <v>0.51900000000000002</v>
      </c>
      <c r="AA163" s="8">
        <v>95.9</v>
      </c>
    </row>
    <row r="164" spans="1:27" x14ac:dyDescent="0.2">
      <c r="A164" t="s">
        <v>342</v>
      </c>
      <c r="B164">
        <v>163</v>
      </c>
      <c r="C164" t="s">
        <v>343</v>
      </c>
      <c r="D164" t="s">
        <v>319</v>
      </c>
      <c r="E164" t="s">
        <v>31</v>
      </c>
      <c r="F164">
        <v>1</v>
      </c>
      <c r="G164" s="7">
        <v>85.625</v>
      </c>
      <c r="H164" s="7">
        <v>6.1916666666666664</v>
      </c>
      <c r="I164" s="7">
        <v>4.875</v>
      </c>
      <c r="J164" s="12">
        <v>0</v>
      </c>
      <c r="K164" s="7">
        <v>4.2416666666666663</v>
      </c>
      <c r="L164" s="7">
        <v>0.26666666666666672</v>
      </c>
      <c r="M164" s="7">
        <v>1.4583333333333339</v>
      </c>
      <c r="N164" s="7">
        <v>62.315789473684212</v>
      </c>
      <c r="O164" s="7">
        <v>20</v>
      </c>
      <c r="P164" s="7">
        <v>0.20347826086956519</v>
      </c>
      <c r="Q164" s="7">
        <v>9.5714285714285724E-2</v>
      </c>
      <c r="R164" s="7">
        <v>1.218181818181818</v>
      </c>
      <c r="S164" s="7">
        <v>0</v>
      </c>
      <c r="T164" s="7">
        <v>177.83333333333329</v>
      </c>
      <c r="U164" s="7">
        <v>0.26250000000000001</v>
      </c>
      <c r="V164" s="7">
        <v>2.504166666666666</v>
      </c>
      <c r="W164" s="7">
        <v>86.416666666666657</v>
      </c>
      <c r="X164" s="7">
        <v>108.75</v>
      </c>
      <c r="Y164" s="7">
        <v>360.21428571428572</v>
      </c>
      <c r="Z164" s="7">
        <v>0.9</v>
      </c>
      <c r="AA164" s="7">
        <v>100</v>
      </c>
    </row>
    <row r="165" spans="1:27" x14ac:dyDescent="0.2">
      <c r="A165" t="s">
        <v>344</v>
      </c>
      <c r="B165">
        <v>164</v>
      </c>
      <c r="C165" t="s">
        <v>345</v>
      </c>
      <c r="D165" t="s">
        <v>319</v>
      </c>
      <c r="E165" t="s">
        <v>31</v>
      </c>
      <c r="F165">
        <v>1</v>
      </c>
      <c r="G165" s="7">
        <v>63.428571428571423</v>
      </c>
      <c r="H165" s="7">
        <v>3.234285714285714</v>
      </c>
      <c r="I165" s="7">
        <v>2.9628571428571422</v>
      </c>
      <c r="J165" s="12">
        <v>0</v>
      </c>
      <c r="K165" s="7">
        <v>6.9342857142857142</v>
      </c>
      <c r="L165" s="7">
        <v>1.9323529411764699</v>
      </c>
      <c r="M165" s="7">
        <v>1.32</v>
      </c>
      <c r="N165" s="7">
        <v>4.833333333333333</v>
      </c>
      <c r="O165" s="7">
        <v>2209.5769230769229</v>
      </c>
      <c r="P165" s="7">
        <v>0.1139393939393939</v>
      </c>
      <c r="Q165" s="7">
        <v>0.15720000000000001</v>
      </c>
      <c r="R165" s="7">
        <v>1.291666666666667</v>
      </c>
      <c r="S165" s="7">
        <v>14.205882352941179</v>
      </c>
      <c r="T165" s="7">
        <v>146.7714285714286</v>
      </c>
      <c r="U165" s="7">
        <v>2.6470370370370371</v>
      </c>
      <c r="V165" s="7">
        <v>3.225714285714286</v>
      </c>
      <c r="W165" s="7">
        <v>73.599999999999994</v>
      </c>
      <c r="X165" s="7">
        <v>210.44285714285721</v>
      </c>
      <c r="Y165" s="7">
        <v>101.27586206896549</v>
      </c>
      <c r="Z165" s="7">
        <v>0.57857142857142851</v>
      </c>
      <c r="AA165" s="7">
        <v>100</v>
      </c>
    </row>
    <row r="166" spans="1:27" x14ac:dyDescent="0.2">
      <c r="A166" t="s">
        <v>346</v>
      </c>
      <c r="B166">
        <v>165</v>
      </c>
      <c r="C166" t="s">
        <v>347</v>
      </c>
      <c r="D166" t="s">
        <v>319</v>
      </c>
      <c r="E166" t="s">
        <v>303</v>
      </c>
      <c r="F166">
        <v>21</v>
      </c>
      <c r="G166" s="8">
        <v>201.42</v>
      </c>
      <c r="H166" s="8">
        <v>12.058999999999999</v>
      </c>
      <c r="I166" s="8">
        <v>14.574999999999999</v>
      </c>
      <c r="J166" s="12">
        <v>0</v>
      </c>
      <c r="K166" s="8">
        <v>6.78</v>
      </c>
      <c r="L166" s="8">
        <v>0.84900000000000009</v>
      </c>
      <c r="M166" s="8">
        <v>5.5729999999999986</v>
      </c>
      <c r="N166" s="8">
        <v>35.020000000000003</v>
      </c>
      <c r="O166" s="8">
        <v>1177.79</v>
      </c>
      <c r="P166" s="8">
        <v>0.1043</v>
      </c>
      <c r="Q166" s="8">
        <v>0.17849999999999999</v>
      </c>
      <c r="R166" s="8">
        <v>4.1620000000000008</v>
      </c>
      <c r="S166" s="8">
        <v>4.4000000000000004</v>
      </c>
      <c r="T166" s="8">
        <v>37.57</v>
      </c>
      <c r="U166" s="8">
        <v>0.68400000000000005</v>
      </c>
      <c r="V166" s="8">
        <v>2.008</v>
      </c>
      <c r="W166" s="8">
        <v>125.09</v>
      </c>
      <c r="X166" s="8">
        <v>275.97800000000001</v>
      </c>
      <c r="Y166" s="8">
        <v>924.78200000000004</v>
      </c>
      <c r="Z166" s="8">
        <v>2.234</v>
      </c>
      <c r="AA166" s="8">
        <v>91.199999999999989</v>
      </c>
    </row>
    <row r="167" spans="1:27" x14ac:dyDescent="0.2">
      <c r="A167" t="s">
        <v>348</v>
      </c>
      <c r="B167">
        <v>166</v>
      </c>
      <c r="C167" t="s">
        <v>349</v>
      </c>
      <c r="D167" t="s">
        <v>319</v>
      </c>
      <c r="E167" t="s">
        <v>303</v>
      </c>
      <c r="F167">
        <v>21</v>
      </c>
      <c r="G167" s="8">
        <v>151.76</v>
      </c>
      <c r="H167" s="8">
        <v>5.3439999999999994</v>
      </c>
      <c r="I167" s="8">
        <v>6.1549999999999994</v>
      </c>
      <c r="J167" s="12">
        <v>0</v>
      </c>
      <c r="K167" s="8">
        <v>4.6689999999999996</v>
      </c>
      <c r="L167" s="8">
        <v>0.35000000000000009</v>
      </c>
      <c r="M167" s="8">
        <v>2.3250000000000002</v>
      </c>
      <c r="N167" s="8">
        <v>17.07</v>
      </c>
      <c r="O167" s="8">
        <v>689.50999999999988</v>
      </c>
      <c r="P167" s="8">
        <v>2.6700000000000002E-2</v>
      </c>
      <c r="Q167" s="8">
        <v>9.2300000000000035E-2</v>
      </c>
      <c r="R167" s="8">
        <v>1.3180000000000001</v>
      </c>
      <c r="S167" s="8">
        <v>6.77</v>
      </c>
      <c r="T167" s="8">
        <v>40.47</v>
      </c>
      <c r="U167" s="8">
        <v>0.37190000000000001</v>
      </c>
      <c r="V167" s="8">
        <v>1.639</v>
      </c>
      <c r="W167" s="8">
        <v>73.78</v>
      </c>
      <c r="X167" s="8">
        <v>110.423</v>
      </c>
      <c r="Y167" s="8">
        <v>626.39599999999996</v>
      </c>
      <c r="Z167" s="8">
        <v>0.83800000000000008</v>
      </c>
      <c r="AA167" s="8">
        <v>95.78</v>
      </c>
    </row>
    <row r="168" spans="1:27" x14ac:dyDescent="0.2">
      <c r="A168" t="s">
        <v>350</v>
      </c>
      <c r="B168">
        <v>167</v>
      </c>
      <c r="C168" t="s">
        <v>351</v>
      </c>
      <c r="D168" t="s">
        <v>319</v>
      </c>
      <c r="E168" t="s">
        <v>285</v>
      </c>
      <c r="F168">
        <v>21</v>
      </c>
      <c r="G168" s="8">
        <v>66</v>
      </c>
      <c r="H168" s="8">
        <v>1.53</v>
      </c>
      <c r="I168" s="8">
        <v>2.64</v>
      </c>
      <c r="J168" s="12">
        <v>0</v>
      </c>
      <c r="K168" s="8">
        <v>9.0449999999999999</v>
      </c>
      <c r="L168" s="8">
        <v>0.435</v>
      </c>
      <c r="M168" s="8">
        <v>0.877</v>
      </c>
      <c r="N168" s="8">
        <v>0</v>
      </c>
      <c r="O168" s="8">
        <v>0.89999999999999991</v>
      </c>
      <c r="P168" s="8">
        <v>6.7199999999999996E-2</v>
      </c>
      <c r="Q168" s="8">
        <v>3.8249999999999999E-2</v>
      </c>
      <c r="R168" s="8">
        <v>0.81</v>
      </c>
      <c r="S168" s="8">
        <v>4.4999999999999998E-2</v>
      </c>
      <c r="T168" s="8">
        <v>11.65</v>
      </c>
      <c r="U168" s="8">
        <v>2.4850000000000001E-2</v>
      </c>
      <c r="V168" s="8">
        <v>0.61650000000000005</v>
      </c>
      <c r="W168" s="8">
        <v>17.25</v>
      </c>
      <c r="X168" s="8">
        <v>27.15</v>
      </c>
      <c r="Y168" s="8">
        <v>280.7</v>
      </c>
      <c r="Z168" s="8">
        <v>0.09</v>
      </c>
      <c r="AA168" s="8">
        <v>100</v>
      </c>
    </row>
    <row r="169" spans="1:27" x14ac:dyDescent="0.2">
      <c r="A169" t="s">
        <v>352</v>
      </c>
      <c r="B169">
        <v>168</v>
      </c>
      <c r="C169" t="s">
        <v>353</v>
      </c>
      <c r="D169" t="s">
        <v>319</v>
      </c>
      <c r="E169" t="s">
        <v>31</v>
      </c>
      <c r="F169">
        <v>1</v>
      </c>
      <c r="G169" s="7">
        <v>471.28571428571428</v>
      </c>
      <c r="H169" s="7">
        <v>1.7285714285714291</v>
      </c>
      <c r="I169" s="7">
        <v>20.714285714285719</v>
      </c>
      <c r="J169" s="12">
        <v>0</v>
      </c>
      <c r="K169" s="7">
        <v>70.05714285714285</v>
      </c>
      <c r="L169" s="7">
        <v>3.7285714285714291</v>
      </c>
      <c r="M169" s="7">
        <v>2.4</v>
      </c>
      <c r="N169" s="7">
        <v>0</v>
      </c>
      <c r="O169" s="7">
        <v>233.75</v>
      </c>
      <c r="P169" s="7">
        <v>0.29142857142857143</v>
      </c>
      <c r="Q169" s="7">
        <v>7.5000000000000011E-2</v>
      </c>
      <c r="R169" s="7">
        <v>1.65</v>
      </c>
      <c r="S169" s="7">
        <v>0</v>
      </c>
      <c r="T169" s="7">
        <v>111.5714285714286</v>
      </c>
      <c r="U169" s="7">
        <v>0.9</v>
      </c>
      <c r="V169" s="7">
        <v>1.3285714285714281</v>
      </c>
      <c r="W169" s="7">
        <v>90.142857142857139</v>
      </c>
      <c r="X169" s="7">
        <v>204</v>
      </c>
      <c r="Y169" s="7">
        <v>382</v>
      </c>
      <c r="Z169" s="7">
        <v>2.2999999999999998</v>
      </c>
      <c r="AA169" s="7">
        <v>100</v>
      </c>
    </row>
    <row r="170" spans="1:27" x14ac:dyDescent="0.2">
      <c r="A170" t="s">
        <v>354</v>
      </c>
      <c r="B170">
        <v>169</v>
      </c>
      <c r="C170" t="s">
        <v>355</v>
      </c>
      <c r="D170" t="s">
        <v>319</v>
      </c>
      <c r="E170" t="s">
        <v>31</v>
      </c>
      <c r="F170">
        <v>1</v>
      </c>
      <c r="G170" s="7">
        <v>212.7234042553192</v>
      </c>
      <c r="H170" s="7">
        <v>18.678723404255319</v>
      </c>
      <c r="I170" s="7">
        <v>10.25744680851064</v>
      </c>
      <c r="J170" s="12">
        <v>0</v>
      </c>
      <c r="K170" s="7">
        <v>11.54042553191489</v>
      </c>
      <c r="L170" s="7">
        <v>0.39444444444444438</v>
      </c>
      <c r="M170" s="7">
        <v>4.9531914893617017</v>
      </c>
      <c r="N170" s="7">
        <v>278.41379310344831</v>
      </c>
      <c r="O170" s="7">
        <v>60.75</v>
      </c>
      <c r="P170" s="7">
        <v>0.32242424242424239</v>
      </c>
      <c r="Q170" s="7">
        <v>0.1152173913043478</v>
      </c>
      <c r="R170" s="7">
        <v>3.195652173913043</v>
      </c>
      <c r="S170" s="7">
        <v>1.166666666666667</v>
      </c>
      <c r="T170" s="7">
        <v>385.13953488372101</v>
      </c>
      <c r="U170" s="7">
        <v>0.28999999999999998</v>
      </c>
      <c r="V170" s="7">
        <v>2.7953488372093021</v>
      </c>
      <c r="W170" s="7">
        <v>351.7906976744186</v>
      </c>
      <c r="X170" s="7">
        <v>234.4969696969697</v>
      </c>
      <c r="Y170" s="7">
        <v>315.45714285714291</v>
      </c>
      <c r="Z170" s="7">
        <v>1.359375</v>
      </c>
      <c r="AA170" s="7">
        <v>100</v>
      </c>
    </row>
    <row r="171" spans="1:27" x14ac:dyDescent="0.2">
      <c r="A171" t="s">
        <v>356</v>
      </c>
      <c r="B171">
        <v>170</v>
      </c>
      <c r="C171" t="s">
        <v>357</v>
      </c>
      <c r="D171" t="s">
        <v>319</v>
      </c>
      <c r="E171" t="s">
        <v>31</v>
      </c>
      <c r="F171">
        <v>1</v>
      </c>
      <c r="G171" s="7">
        <v>283.70588235294122</v>
      </c>
      <c r="H171" s="7">
        <v>33.876470588235293</v>
      </c>
      <c r="I171" s="7">
        <v>14.335294117647059</v>
      </c>
      <c r="J171" s="12">
        <v>0</v>
      </c>
      <c r="K171" s="7">
        <v>2.8117647058823532</v>
      </c>
      <c r="L171" s="7">
        <v>0</v>
      </c>
      <c r="M171" s="7">
        <v>2.8529411764705879</v>
      </c>
      <c r="N171" s="7">
        <v>23.941176470588239</v>
      </c>
      <c r="O171" s="7">
        <v>0</v>
      </c>
      <c r="P171" s="7">
        <v>0.3664705882352941</v>
      </c>
      <c r="Q171" s="7">
        <v>0.14000000000000001</v>
      </c>
      <c r="R171" s="7">
        <v>2.878571428571429</v>
      </c>
      <c r="S171" s="7">
        <v>0</v>
      </c>
      <c r="T171" s="7">
        <v>205.64705882352939</v>
      </c>
      <c r="U171" s="7">
        <v>0.12375</v>
      </c>
      <c r="V171" s="7">
        <v>6.2470588235294118</v>
      </c>
      <c r="W171" s="7">
        <v>238.1764705882353</v>
      </c>
      <c r="X171" s="7">
        <v>291.60000000000002</v>
      </c>
      <c r="Y171" s="7">
        <v>697.55555555555554</v>
      </c>
      <c r="Z171" s="7">
        <v>1.6625000000000001</v>
      </c>
      <c r="AA171" s="7">
        <v>100</v>
      </c>
    </row>
    <row r="172" spans="1:27" x14ac:dyDescent="0.2">
      <c r="A172" t="s">
        <v>358</v>
      </c>
      <c r="B172">
        <v>171</v>
      </c>
      <c r="C172" t="s">
        <v>359</v>
      </c>
      <c r="D172" t="s">
        <v>319</v>
      </c>
      <c r="E172" t="s">
        <v>303</v>
      </c>
      <c r="F172">
        <v>21</v>
      </c>
      <c r="G172" s="8">
        <v>290.8</v>
      </c>
      <c r="H172" s="8">
        <v>18.571999999999999</v>
      </c>
      <c r="I172" s="8">
        <v>22.143999999999998</v>
      </c>
      <c r="J172" s="12">
        <v>0</v>
      </c>
      <c r="K172" s="8">
        <v>4.3079999999999998</v>
      </c>
      <c r="L172" s="8">
        <v>0.6</v>
      </c>
      <c r="M172" s="8">
        <v>3.1579999999999999</v>
      </c>
      <c r="N172" s="8">
        <v>244.6</v>
      </c>
      <c r="O172" s="8">
        <v>10.4</v>
      </c>
      <c r="P172" s="8">
        <v>0.1072</v>
      </c>
      <c r="Q172" s="8">
        <v>0.31700000000000012</v>
      </c>
      <c r="R172" s="8">
        <v>4.8472</v>
      </c>
      <c r="S172" s="8">
        <v>0</v>
      </c>
      <c r="T172" s="8">
        <v>22.2</v>
      </c>
      <c r="U172" s="8">
        <v>0.1038</v>
      </c>
      <c r="V172" s="8">
        <v>3.1059999999999999</v>
      </c>
      <c r="W172" s="8">
        <v>178.8</v>
      </c>
      <c r="X172" s="8">
        <v>260.82</v>
      </c>
      <c r="Y172" s="8">
        <v>874.19999999999993</v>
      </c>
      <c r="Z172" s="8">
        <v>2.75</v>
      </c>
      <c r="AA172" s="8">
        <v>100</v>
      </c>
    </row>
    <row r="173" spans="1:27" x14ac:dyDescent="0.2">
      <c r="A173" t="s">
        <v>360</v>
      </c>
      <c r="B173">
        <v>172</v>
      </c>
      <c r="C173" t="s">
        <v>361</v>
      </c>
      <c r="D173" t="s">
        <v>319</v>
      </c>
      <c r="E173" t="s">
        <v>303</v>
      </c>
      <c r="F173">
        <v>21</v>
      </c>
      <c r="G173" s="8">
        <v>103.08</v>
      </c>
      <c r="H173" s="8">
        <v>2.71</v>
      </c>
      <c r="I173" s="8">
        <v>4.4390000000000009</v>
      </c>
      <c r="J173" s="12">
        <v>0</v>
      </c>
      <c r="K173" s="8">
        <v>13.172000000000001</v>
      </c>
      <c r="L173" s="8">
        <v>0.27</v>
      </c>
      <c r="M173" s="8">
        <v>1.4950000000000001</v>
      </c>
      <c r="N173" s="8">
        <v>17.149999999999999</v>
      </c>
      <c r="O173" s="8">
        <v>364.25</v>
      </c>
      <c r="P173" s="8">
        <v>4.0099999999999997E-2</v>
      </c>
      <c r="Q173" s="8">
        <v>2.4199999999999999E-2</v>
      </c>
      <c r="R173" s="8">
        <v>1.173</v>
      </c>
      <c r="S173" s="8">
        <v>0.15</v>
      </c>
      <c r="T173" s="8">
        <v>32.950000000000003</v>
      </c>
      <c r="U173" s="8">
        <v>3.56E-2</v>
      </c>
      <c r="V173" s="8">
        <v>0.47599999999999998</v>
      </c>
      <c r="W173" s="8">
        <v>31.66</v>
      </c>
      <c r="X173" s="8">
        <v>46.868000000000002</v>
      </c>
      <c r="Y173" s="8">
        <v>420.96499999999997</v>
      </c>
      <c r="Z173" s="8">
        <v>0.13200000000000001</v>
      </c>
      <c r="AA173" s="8">
        <v>96.66</v>
      </c>
    </row>
    <row r="174" spans="1:27" x14ac:dyDescent="0.2">
      <c r="A174" t="s">
        <v>362</v>
      </c>
      <c r="B174">
        <v>173</v>
      </c>
      <c r="C174" t="s">
        <v>363</v>
      </c>
      <c r="D174" t="s">
        <v>319</v>
      </c>
      <c r="E174" t="s">
        <v>364</v>
      </c>
      <c r="F174">
        <v>21</v>
      </c>
      <c r="G174" s="8">
        <v>201.68</v>
      </c>
      <c r="H174" s="8">
        <v>8.636000000000001</v>
      </c>
      <c r="I174" s="8">
        <v>9.6820000000000004</v>
      </c>
      <c r="J174" s="8">
        <v>0.19661729999999999</v>
      </c>
      <c r="K174" s="8">
        <v>21.114000000000001</v>
      </c>
      <c r="L174" s="8">
        <v>0.60199999999999998</v>
      </c>
      <c r="M174" s="8">
        <v>2.1493000000000002</v>
      </c>
      <c r="N174" s="8">
        <v>5.08</v>
      </c>
      <c r="O174" s="8">
        <v>1585.9</v>
      </c>
      <c r="P174" s="8">
        <v>8.4500000000000006E-2</v>
      </c>
      <c r="Q174" s="8">
        <v>19.8673</v>
      </c>
      <c r="R174" s="8">
        <v>3.6680000000000001</v>
      </c>
      <c r="S174" s="8">
        <v>3.54</v>
      </c>
      <c r="T174" s="8">
        <v>77.747</v>
      </c>
      <c r="U174" s="8">
        <v>0.223916</v>
      </c>
      <c r="V174" s="8">
        <v>1.5089999999999999</v>
      </c>
      <c r="W174" s="8">
        <v>141.982</v>
      </c>
      <c r="X174" s="8">
        <v>182.92599999999999</v>
      </c>
      <c r="Y174" s="8">
        <v>411.28199999999998</v>
      </c>
      <c r="Z174" s="8">
        <v>0.53060000000000007</v>
      </c>
      <c r="AA174" s="8">
        <v>85.545479820627804</v>
      </c>
    </row>
    <row r="175" spans="1:27" x14ac:dyDescent="0.2">
      <c r="B175">
        <v>174</v>
      </c>
      <c r="C175" t="s">
        <v>365</v>
      </c>
      <c r="D175" t="s">
        <v>319</v>
      </c>
      <c r="E175" t="s">
        <v>31</v>
      </c>
      <c r="F175">
        <v>1</v>
      </c>
      <c r="G175" s="7">
        <v>207.2700729927007</v>
      </c>
      <c r="H175" s="7">
        <v>6.6423357664233587</v>
      </c>
      <c r="I175" s="7">
        <v>6.2576642335766426</v>
      </c>
      <c r="J175" s="12">
        <v>0</v>
      </c>
      <c r="K175" s="7">
        <v>30.091240875912408</v>
      </c>
      <c r="L175" s="7">
        <v>2.409782608695652</v>
      </c>
      <c r="M175" s="7">
        <v>1.4364963503649639</v>
      </c>
      <c r="N175" s="7">
        <v>197.18571428571431</v>
      </c>
      <c r="O175" s="7">
        <v>179.89705882352939</v>
      </c>
      <c r="P175" s="7">
        <v>0.313781512605042</v>
      </c>
      <c r="Q175" s="7">
        <v>0.15716216216216219</v>
      </c>
      <c r="R175" s="7">
        <v>1.5681159420289861</v>
      </c>
      <c r="S175" s="7">
        <v>3.3000000000000012</v>
      </c>
      <c r="T175" s="7">
        <v>95.015503875969003</v>
      </c>
      <c r="U175" s="7">
        <v>0.32250000000000001</v>
      </c>
      <c r="V175" s="7">
        <v>2.503076923076923</v>
      </c>
      <c r="W175" s="7">
        <v>113.823076923077</v>
      </c>
      <c r="X175" s="7">
        <v>259.75</v>
      </c>
      <c r="Y175" s="7">
        <v>308.61386138613869</v>
      </c>
      <c r="Z175" s="7">
        <v>1.2058139534883721</v>
      </c>
      <c r="AA175" s="7">
        <v>99.715555555555554</v>
      </c>
    </row>
    <row r="176" spans="1:27" x14ac:dyDescent="0.2">
      <c r="A176" t="s">
        <v>366</v>
      </c>
      <c r="B176">
        <v>175</v>
      </c>
      <c r="C176" t="s">
        <v>367</v>
      </c>
      <c r="D176" t="s">
        <v>319</v>
      </c>
      <c r="E176" t="s">
        <v>285</v>
      </c>
      <c r="F176">
        <v>21</v>
      </c>
      <c r="G176" s="8">
        <v>0</v>
      </c>
      <c r="H176" s="8">
        <v>0</v>
      </c>
      <c r="I176" s="8">
        <v>0</v>
      </c>
      <c r="J176" s="12">
        <v>0</v>
      </c>
      <c r="K176" s="8">
        <v>0</v>
      </c>
      <c r="L176" s="8">
        <v>0</v>
      </c>
      <c r="M176" s="8">
        <v>7.0000000000000007E-2</v>
      </c>
      <c r="N176" s="8">
        <v>0</v>
      </c>
      <c r="O176" s="8">
        <v>0</v>
      </c>
      <c r="P176" s="8">
        <v>0</v>
      </c>
      <c r="Q176" s="8">
        <v>0</v>
      </c>
      <c r="R176" s="8">
        <v>0</v>
      </c>
      <c r="S176" s="8">
        <v>0</v>
      </c>
      <c r="T176" s="8">
        <v>10</v>
      </c>
      <c r="U176" s="8">
        <v>7.0000000000000001E-3</v>
      </c>
      <c r="V176" s="8">
        <v>0</v>
      </c>
      <c r="W176" s="8">
        <v>0</v>
      </c>
      <c r="X176" s="8">
        <v>0</v>
      </c>
      <c r="Y176" s="8">
        <v>2</v>
      </c>
      <c r="Z176" s="8">
        <v>0</v>
      </c>
      <c r="AA176" s="8">
        <v>100</v>
      </c>
    </row>
    <row r="177" spans="1:27" x14ac:dyDescent="0.2">
      <c r="A177" t="s">
        <v>368</v>
      </c>
      <c r="B177">
        <v>176</v>
      </c>
      <c r="C177" t="s">
        <v>369</v>
      </c>
      <c r="D177" t="s">
        <v>319</v>
      </c>
      <c r="E177" t="s">
        <v>285</v>
      </c>
      <c r="F177">
        <v>21</v>
      </c>
      <c r="G177" s="8">
        <v>0</v>
      </c>
      <c r="H177" s="8">
        <v>0</v>
      </c>
      <c r="I177" s="8">
        <v>0</v>
      </c>
      <c r="J177" s="12">
        <v>0</v>
      </c>
      <c r="K177" s="8">
        <v>0</v>
      </c>
      <c r="L177" s="8">
        <v>0</v>
      </c>
      <c r="M177" s="8">
        <v>7.0000000000000007E-2</v>
      </c>
      <c r="N177" s="8">
        <v>0</v>
      </c>
      <c r="O177" s="8">
        <v>0</v>
      </c>
      <c r="P177" s="8">
        <v>0</v>
      </c>
      <c r="Q177" s="8">
        <v>0</v>
      </c>
      <c r="R177" s="8">
        <v>0</v>
      </c>
      <c r="S177" s="8">
        <v>0</v>
      </c>
      <c r="T177" s="8">
        <v>10</v>
      </c>
      <c r="U177" s="8">
        <v>7.0000000000000001E-3</v>
      </c>
      <c r="V177" s="8">
        <v>0</v>
      </c>
      <c r="W177" s="8">
        <v>0</v>
      </c>
      <c r="X177" s="8">
        <v>0</v>
      </c>
      <c r="Y177" s="8">
        <v>2</v>
      </c>
      <c r="Z177" s="8">
        <v>0</v>
      </c>
      <c r="AA177" s="8">
        <v>100</v>
      </c>
    </row>
    <row r="178" spans="1:27" x14ac:dyDescent="0.2">
      <c r="A178" t="s">
        <v>370</v>
      </c>
      <c r="B178">
        <v>177</v>
      </c>
      <c r="C178" t="s">
        <v>371</v>
      </c>
      <c r="D178" t="s">
        <v>319</v>
      </c>
      <c r="E178" t="s">
        <v>285</v>
      </c>
      <c r="F178">
        <v>21</v>
      </c>
      <c r="G178" s="8">
        <v>42.666666666666657</v>
      </c>
      <c r="H178" s="8">
        <v>0.03</v>
      </c>
      <c r="I178" s="8">
        <v>0.15666666666666659</v>
      </c>
      <c r="J178" s="12">
        <v>0</v>
      </c>
      <c r="K178" s="8">
        <v>10.526666666666671</v>
      </c>
      <c r="L178" s="8">
        <v>0</v>
      </c>
      <c r="M178" s="8">
        <v>2.3333333333333331E-2</v>
      </c>
      <c r="N178" s="8">
        <v>0</v>
      </c>
      <c r="O178" s="8">
        <v>0</v>
      </c>
      <c r="P178" s="8">
        <v>0</v>
      </c>
      <c r="Q178" s="8">
        <v>0</v>
      </c>
      <c r="R178" s="8">
        <v>5.0000000000000001E-3</v>
      </c>
      <c r="S178" s="8">
        <v>0</v>
      </c>
      <c r="T178" s="8">
        <v>2.333333333333333</v>
      </c>
      <c r="U178" s="8">
        <v>4.333333333333334E-3</v>
      </c>
      <c r="V178" s="8">
        <v>1.3333333333333331E-2</v>
      </c>
      <c r="W178" s="8">
        <v>3.333333333333333</v>
      </c>
      <c r="X178" s="8">
        <v>6.666666666666667</v>
      </c>
      <c r="Y178" s="8">
        <v>5.333333333333333</v>
      </c>
      <c r="Z178" s="8">
        <v>3.666666666666666E-2</v>
      </c>
      <c r="AA178" s="8">
        <v>100</v>
      </c>
    </row>
    <row r="179" spans="1:27" x14ac:dyDescent="0.2">
      <c r="A179" t="s">
        <v>372</v>
      </c>
      <c r="B179">
        <v>178</v>
      </c>
      <c r="C179" t="s">
        <v>373</v>
      </c>
      <c r="D179" t="s">
        <v>319</v>
      </c>
      <c r="E179" t="s">
        <v>374</v>
      </c>
      <c r="F179">
        <v>3</v>
      </c>
      <c r="G179" s="13">
        <v>57.185839908955657</v>
      </c>
      <c r="H179" s="13">
        <v>0.17069222075534399</v>
      </c>
      <c r="I179" s="13">
        <v>0.17369668246445499</v>
      </c>
      <c r="J179" s="12">
        <v>0</v>
      </c>
      <c r="K179" s="13">
        <v>13.721023216656301</v>
      </c>
      <c r="L179" s="13">
        <v>9.6657662213613521E-2</v>
      </c>
      <c r="M179" s="13">
        <v>0.21056726649752769</v>
      </c>
      <c r="N179" s="13">
        <v>0</v>
      </c>
      <c r="O179" s="12">
        <v>0</v>
      </c>
      <c r="P179" s="13">
        <v>1.421800947867298E-2</v>
      </c>
      <c r="Q179" s="13">
        <v>0.23988909029424149</v>
      </c>
      <c r="R179" s="13">
        <v>1.8427182906257531</v>
      </c>
      <c r="S179" s="13">
        <v>5.087393541076394</v>
      </c>
      <c r="T179" s="13">
        <v>10.927468992902099</v>
      </c>
      <c r="U179" s="12">
        <v>6.4999999999999997E-3</v>
      </c>
      <c r="V179" s="13">
        <v>0.26045255695624892</v>
      </c>
      <c r="W179" s="13">
        <v>3</v>
      </c>
      <c r="X179" s="13">
        <v>61.450236966824647</v>
      </c>
      <c r="Y179" s="13">
        <v>15.593096326417371</v>
      </c>
      <c r="Z179" s="13">
        <v>0.1</v>
      </c>
      <c r="AA179" s="13">
        <v>100</v>
      </c>
    </row>
    <row r="180" spans="1:27" x14ac:dyDescent="0.2">
      <c r="A180" t="s">
        <v>375</v>
      </c>
      <c r="B180">
        <v>179</v>
      </c>
      <c r="C180" t="s">
        <v>376</v>
      </c>
      <c r="D180" t="s">
        <v>319</v>
      </c>
      <c r="E180" t="s">
        <v>374</v>
      </c>
      <c r="F180">
        <v>3</v>
      </c>
      <c r="G180" s="13">
        <v>70.048712324597659</v>
      </c>
      <c r="H180" s="13">
        <v>2.253643005867108</v>
      </c>
      <c r="I180" s="13">
        <v>1.945540022305621</v>
      </c>
      <c r="J180" s="12">
        <v>0</v>
      </c>
      <c r="K180" s="13">
        <v>10.8698953140639</v>
      </c>
      <c r="L180" s="13">
        <v>0</v>
      </c>
      <c r="M180" s="13">
        <v>0.65789966394810029</v>
      </c>
      <c r="N180" s="13">
        <v>24.584777248329651</v>
      </c>
      <c r="O180" s="13">
        <v>5</v>
      </c>
      <c r="P180" s="13">
        <v>2.666504677686575E-2</v>
      </c>
      <c r="Q180" s="13">
        <v>0.21696198327891719</v>
      </c>
      <c r="R180" s="13">
        <v>0.14748338081671419</v>
      </c>
      <c r="S180" s="13">
        <v>0.5</v>
      </c>
      <c r="T180" s="13">
        <v>78.920034026107956</v>
      </c>
      <c r="U180" s="12">
        <v>3.3500000000000002E-2</v>
      </c>
      <c r="V180" s="13">
        <v>0.14556306201525229</v>
      </c>
      <c r="W180" s="13">
        <v>85.508397800979793</v>
      </c>
      <c r="X180" s="13">
        <v>136.12440645773981</v>
      </c>
      <c r="Y180" s="13">
        <v>45.44405469401913</v>
      </c>
      <c r="Z180" s="12">
        <v>0.33500000000000002</v>
      </c>
      <c r="AA180" s="13">
        <v>100</v>
      </c>
    </row>
    <row r="181" spans="1:27" x14ac:dyDescent="0.2">
      <c r="A181" t="s">
        <v>377</v>
      </c>
      <c r="B181">
        <v>180</v>
      </c>
      <c r="C181" t="s">
        <v>378</v>
      </c>
      <c r="D181" t="s">
        <v>319</v>
      </c>
      <c r="E181" t="s">
        <v>31</v>
      </c>
      <c r="F181">
        <v>1</v>
      </c>
      <c r="G181" s="7">
        <v>210</v>
      </c>
      <c r="H181" s="7">
        <v>4</v>
      </c>
      <c r="I181" s="7">
        <v>12.5</v>
      </c>
      <c r="J181" s="12">
        <v>0</v>
      </c>
      <c r="K181" s="7">
        <v>20.6</v>
      </c>
      <c r="L181" s="7">
        <v>0</v>
      </c>
      <c r="M181" s="7">
        <v>0.8</v>
      </c>
      <c r="N181" s="7">
        <v>158</v>
      </c>
      <c r="O181" s="7">
        <v>0</v>
      </c>
      <c r="P181" s="7">
        <v>0.04</v>
      </c>
      <c r="Q181" s="7">
        <v>0.23</v>
      </c>
      <c r="R181" s="7">
        <v>0.1</v>
      </c>
      <c r="S181" s="7">
        <v>1</v>
      </c>
      <c r="T181" s="7">
        <v>123</v>
      </c>
      <c r="U181" s="7">
        <v>0</v>
      </c>
      <c r="V181" s="7">
        <v>0.1</v>
      </c>
      <c r="W181" s="7">
        <v>99</v>
      </c>
      <c r="X181" s="7">
        <v>193.4</v>
      </c>
      <c r="Y181" s="7">
        <v>78</v>
      </c>
      <c r="Z181" s="7">
        <v>0.7</v>
      </c>
      <c r="AA181" s="7">
        <v>100</v>
      </c>
    </row>
    <row r="182" spans="1:27" x14ac:dyDescent="0.2">
      <c r="A182" t="s">
        <v>379</v>
      </c>
      <c r="B182">
        <v>181</v>
      </c>
      <c r="C182" t="s">
        <v>380</v>
      </c>
      <c r="D182" t="s">
        <v>319</v>
      </c>
      <c r="E182" t="s">
        <v>303</v>
      </c>
      <c r="F182">
        <v>21</v>
      </c>
      <c r="G182" s="8">
        <v>79.200000000000017</v>
      </c>
      <c r="H182" s="8">
        <v>2.0760000000000001</v>
      </c>
      <c r="I182" s="8">
        <v>1.7529999999999999</v>
      </c>
      <c r="J182" s="12">
        <v>0</v>
      </c>
      <c r="K182" s="8">
        <v>14.362</v>
      </c>
      <c r="L182" s="8">
        <v>0.7410000000000001</v>
      </c>
      <c r="M182" s="8">
        <v>0.68799999999999994</v>
      </c>
      <c r="N182" s="8">
        <v>13.95</v>
      </c>
      <c r="O182" s="8">
        <v>45.489999999999988</v>
      </c>
      <c r="P182" s="8">
        <v>3.2500000000000001E-2</v>
      </c>
      <c r="Q182" s="8">
        <v>6.5600000000000006E-2</v>
      </c>
      <c r="R182" s="8">
        <v>0.34600000000000009</v>
      </c>
      <c r="S182" s="8">
        <v>4.3899999999999997</v>
      </c>
      <c r="T182" s="8">
        <v>49</v>
      </c>
      <c r="U182" s="8">
        <v>12.415699999999999</v>
      </c>
      <c r="V182" s="8">
        <v>0.65100000000000013</v>
      </c>
      <c r="W182" s="8">
        <v>42.530000000000008</v>
      </c>
      <c r="X182" s="8">
        <v>195.607</v>
      </c>
      <c r="Y182" s="8">
        <v>17.920000000000002</v>
      </c>
      <c r="Z182" s="8">
        <v>0.42</v>
      </c>
      <c r="AA182" s="8">
        <v>83.600000000000009</v>
      </c>
    </row>
    <row r="183" spans="1:27" x14ac:dyDescent="0.2">
      <c r="A183" t="s">
        <v>381</v>
      </c>
      <c r="B183">
        <v>182</v>
      </c>
      <c r="C183" t="s">
        <v>382</v>
      </c>
      <c r="D183" t="s">
        <v>319</v>
      </c>
      <c r="E183" t="s">
        <v>285</v>
      </c>
      <c r="F183">
        <v>21</v>
      </c>
      <c r="G183" s="8">
        <v>169</v>
      </c>
      <c r="H183" s="8">
        <v>0.23</v>
      </c>
      <c r="I183" s="8">
        <v>0</v>
      </c>
      <c r="J183" s="12">
        <v>0</v>
      </c>
      <c r="K183" s="8">
        <v>1.7749999999999999</v>
      </c>
      <c r="L183" s="8">
        <v>0</v>
      </c>
      <c r="M183" s="8">
        <v>8.5000000000000006E-2</v>
      </c>
      <c r="N183" s="8">
        <v>0</v>
      </c>
      <c r="O183" s="8">
        <v>0</v>
      </c>
      <c r="P183" s="8">
        <v>5.4999999999999997E-3</v>
      </c>
      <c r="Q183" s="8">
        <v>1.4500000000000001E-2</v>
      </c>
      <c r="R183" s="8">
        <v>0.26300000000000001</v>
      </c>
      <c r="S183" s="8">
        <v>0</v>
      </c>
      <c r="T183" s="8">
        <v>2</v>
      </c>
      <c r="U183" s="8">
        <v>1.2999999999999999E-2</v>
      </c>
      <c r="V183" s="8">
        <v>0.03</v>
      </c>
      <c r="W183" s="8">
        <v>9</v>
      </c>
      <c r="X183" s="8">
        <v>14.5</v>
      </c>
      <c r="Y183" s="8">
        <v>2.5</v>
      </c>
      <c r="Z183" s="8">
        <v>2.5000000000000001E-2</v>
      </c>
      <c r="AA183" s="8">
        <v>100</v>
      </c>
    </row>
  </sheetData>
  <autoFilter ref="A1:AA18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94"/>
  <sheetViews>
    <sheetView topLeftCell="A149" workbookViewId="0">
      <selection activeCell="A151" sqref="A151"/>
    </sheetView>
  </sheetViews>
  <sheetFormatPr baseColWidth="10" defaultColWidth="8.83203125" defaultRowHeight="15" x14ac:dyDescent="0.2"/>
  <cols>
    <col min="1" max="1" width="160" customWidth="1"/>
  </cols>
  <sheetData>
    <row r="1" spans="1:1" x14ac:dyDescent="0.2">
      <c r="A1" t="s">
        <v>1400</v>
      </c>
    </row>
    <row r="2" spans="1:1" x14ac:dyDescent="0.2">
      <c r="A2" t="s">
        <v>1401</v>
      </c>
    </row>
    <row r="3" spans="1:1" x14ac:dyDescent="0.2">
      <c r="A3" s="5" t="s">
        <v>1402</v>
      </c>
    </row>
    <row r="4" spans="1:1" x14ac:dyDescent="0.2">
      <c r="A4" t="s">
        <v>1403</v>
      </c>
    </row>
    <row r="5" spans="1:1" x14ac:dyDescent="0.2">
      <c r="A5" t="s">
        <v>1404</v>
      </c>
    </row>
    <row r="6" spans="1:1" x14ac:dyDescent="0.2">
      <c r="A6" t="s">
        <v>1405</v>
      </c>
    </row>
    <row r="7" spans="1:1" x14ac:dyDescent="0.2">
      <c r="A7" t="s">
        <v>1406</v>
      </c>
    </row>
    <row r="8" spans="1:1" x14ac:dyDescent="0.2">
      <c r="A8" t="s">
        <v>1407</v>
      </c>
    </row>
    <row r="9" spans="1:1" x14ac:dyDescent="0.2">
      <c r="A9" t="s">
        <v>1408</v>
      </c>
    </row>
    <row r="10" spans="1:1" x14ac:dyDescent="0.2">
      <c r="A10" t="s">
        <v>1409</v>
      </c>
    </row>
    <row r="11" spans="1:1" x14ac:dyDescent="0.2">
      <c r="A11" t="s">
        <v>1410</v>
      </c>
    </row>
    <row r="12" spans="1:1" x14ac:dyDescent="0.2">
      <c r="A12" t="s">
        <v>1411</v>
      </c>
    </row>
    <row r="13" spans="1:1" x14ac:dyDescent="0.2">
      <c r="A13" t="s">
        <v>1578</v>
      </c>
    </row>
    <row r="16" spans="1:1" x14ac:dyDescent="0.2">
      <c r="A16" t="s">
        <v>1412</v>
      </c>
    </row>
    <row r="17" spans="1:1" x14ac:dyDescent="0.2">
      <c r="A17" t="s">
        <v>1413</v>
      </c>
    </row>
    <row r="18" spans="1:1" x14ac:dyDescent="0.2">
      <c r="A18" t="s">
        <v>1414</v>
      </c>
    </row>
    <row r="19" spans="1:1" x14ac:dyDescent="0.2">
      <c r="A19" t="s">
        <v>1415</v>
      </c>
    </row>
    <row r="20" spans="1:1" x14ac:dyDescent="0.2">
      <c r="A20" t="s">
        <v>1416</v>
      </c>
    </row>
    <row r="22" spans="1:1" x14ac:dyDescent="0.2">
      <c r="A22" t="s">
        <v>1417</v>
      </c>
    </row>
    <row r="23" spans="1:1" x14ac:dyDescent="0.2">
      <c r="A23" t="s">
        <v>1418</v>
      </c>
    </row>
    <row r="24" spans="1:1" x14ac:dyDescent="0.2">
      <c r="A24" t="s">
        <v>1419</v>
      </c>
    </row>
    <row r="25" spans="1:1" x14ac:dyDescent="0.2">
      <c r="A25" t="s">
        <v>1420</v>
      </c>
    </row>
    <row r="26" spans="1:1" x14ac:dyDescent="0.2">
      <c r="A26" t="s">
        <v>1421</v>
      </c>
    </row>
    <row r="27" spans="1:1" x14ac:dyDescent="0.2">
      <c r="A27" t="s">
        <v>1422</v>
      </c>
    </row>
    <row r="28" spans="1:1" x14ac:dyDescent="0.2">
      <c r="A28" t="s">
        <v>1423</v>
      </c>
    </row>
    <row r="29" spans="1:1" x14ac:dyDescent="0.2">
      <c r="A29" t="s">
        <v>1424</v>
      </c>
    </row>
    <row r="30" spans="1:1" x14ac:dyDescent="0.2">
      <c r="A30" t="s">
        <v>1425</v>
      </c>
    </row>
    <row r="31" spans="1:1" x14ac:dyDescent="0.2">
      <c r="A31" t="s">
        <v>1426</v>
      </c>
    </row>
    <row r="32" spans="1:1" x14ac:dyDescent="0.2">
      <c r="A32" t="s">
        <v>1427</v>
      </c>
    </row>
    <row r="33" spans="1:1" x14ac:dyDescent="0.2">
      <c r="A33" t="s">
        <v>1428</v>
      </c>
    </row>
    <row r="34" spans="1:1" x14ac:dyDescent="0.2">
      <c r="A34" t="s">
        <v>1429</v>
      </c>
    </row>
    <row r="36" spans="1:1" x14ac:dyDescent="0.2">
      <c r="A36" t="s">
        <v>1430</v>
      </c>
    </row>
    <row r="37" spans="1:1" x14ac:dyDescent="0.2">
      <c r="A37" t="s">
        <v>1431</v>
      </c>
    </row>
    <row r="38" spans="1:1" x14ac:dyDescent="0.2">
      <c r="A38" t="s">
        <v>1432</v>
      </c>
    </row>
    <row r="39" spans="1:1" x14ac:dyDescent="0.2">
      <c r="A39" t="s">
        <v>1433</v>
      </c>
    </row>
    <row r="40" spans="1:1" x14ac:dyDescent="0.2">
      <c r="A40" t="s">
        <v>1570</v>
      </c>
    </row>
    <row r="41" spans="1:1" x14ac:dyDescent="0.2">
      <c r="A41" t="s">
        <v>1434</v>
      </c>
    </row>
    <row r="43" spans="1:1" x14ac:dyDescent="0.2">
      <c r="A43" t="s">
        <v>1435</v>
      </c>
    </row>
    <row r="44" spans="1:1" x14ac:dyDescent="0.2">
      <c r="A44" t="s">
        <v>1436</v>
      </c>
    </row>
    <row r="45" spans="1:1" x14ac:dyDescent="0.2">
      <c r="A45" t="s">
        <v>1437</v>
      </c>
    </row>
    <row r="46" spans="1:1" x14ac:dyDescent="0.2">
      <c r="A46" t="s">
        <v>1438</v>
      </c>
    </row>
    <row r="47" spans="1:1" x14ac:dyDescent="0.2">
      <c r="A47" t="s">
        <v>1439</v>
      </c>
    </row>
    <row r="48" spans="1:1" x14ac:dyDescent="0.2">
      <c r="A48" t="s">
        <v>1440</v>
      </c>
    </row>
    <row r="49" spans="1:1" x14ac:dyDescent="0.2">
      <c r="A49" t="s">
        <v>1441</v>
      </c>
    </row>
    <row r="50" spans="1:1" x14ac:dyDescent="0.2">
      <c r="A50" t="s">
        <v>1442</v>
      </c>
    </row>
    <row r="51" spans="1:1" x14ac:dyDescent="0.2">
      <c r="A51" t="s">
        <v>1443</v>
      </c>
    </row>
    <row r="52" spans="1:1" x14ac:dyDescent="0.2">
      <c r="A52" t="s">
        <v>1444</v>
      </c>
    </row>
    <row r="53" spans="1:1" x14ac:dyDescent="0.2">
      <c r="A53" t="s">
        <v>1445</v>
      </c>
    </row>
    <row r="54" spans="1:1" x14ac:dyDescent="0.2">
      <c r="A54" t="s">
        <v>1446</v>
      </c>
    </row>
    <row r="55" spans="1:1" x14ac:dyDescent="0.2">
      <c r="A55" t="s">
        <v>1447</v>
      </c>
    </row>
    <row r="56" spans="1:1" x14ac:dyDescent="0.2">
      <c r="A56" t="s">
        <v>1448</v>
      </c>
    </row>
    <row r="57" spans="1:1" x14ac:dyDescent="0.2">
      <c r="A57" t="s">
        <v>1449</v>
      </c>
    </row>
    <row r="59" spans="1:1" x14ac:dyDescent="0.2">
      <c r="A59" t="s">
        <v>1450</v>
      </c>
    </row>
    <row r="60" spans="1:1" x14ac:dyDescent="0.2">
      <c r="A60" t="s">
        <v>1451</v>
      </c>
    </row>
    <row r="61" spans="1:1" x14ac:dyDescent="0.2">
      <c r="A61" t="s">
        <v>1452</v>
      </c>
    </row>
    <row r="63" spans="1:1" x14ac:dyDescent="0.2">
      <c r="A63" t="s">
        <v>1453</v>
      </c>
    </row>
    <row r="64" spans="1:1" x14ac:dyDescent="0.2">
      <c r="A64" t="s">
        <v>1454</v>
      </c>
    </row>
    <row r="65" spans="1:1" x14ac:dyDescent="0.2">
      <c r="A65" t="s">
        <v>1559</v>
      </c>
    </row>
    <row r="66" spans="1:1" x14ac:dyDescent="0.2">
      <c r="A66" t="s">
        <v>1455</v>
      </c>
    </row>
    <row r="67" spans="1:1" x14ac:dyDescent="0.2">
      <c r="A67" t="s">
        <v>1456</v>
      </c>
    </row>
    <row r="68" spans="1:1" x14ac:dyDescent="0.2">
      <c r="A68" t="s">
        <v>1457</v>
      </c>
    </row>
    <row r="69" spans="1:1" x14ac:dyDescent="0.2">
      <c r="A69" t="s">
        <v>1458</v>
      </c>
    </row>
    <row r="70" spans="1:1" x14ac:dyDescent="0.2">
      <c r="A70" t="s">
        <v>1558</v>
      </c>
    </row>
    <row r="71" spans="1:1" x14ac:dyDescent="0.2">
      <c r="A71" t="s">
        <v>1459</v>
      </c>
    </row>
    <row r="73" spans="1:1" x14ac:dyDescent="0.2">
      <c r="A73" t="s">
        <v>1460</v>
      </c>
    </row>
    <row r="74" spans="1:1" x14ac:dyDescent="0.2">
      <c r="A74" t="s">
        <v>1461</v>
      </c>
    </row>
    <row r="75" spans="1:1" x14ac:dyDescent="0.2">
      <c r="A75" t="s">
        <v>1462</v>
      </c>
    </row>
    <row r="76" spans="1:1" x14ac:dyDescent="0.2">
      <c r="A76" t="s">
        <v>1463</v>
      </c>
    </row>
    <row r="77" spans="1:1" x14ac:dyDescent="0.2">
      <c r="A77" t="s">
        <v>1464</v>
      </c>
    </row>
    <row r="78" spans="1:1" x14ac:dyDescent="0.2">
      <c r="A78" t="s">
        <v>1465</v>
      </c>
    </row>
    <row r="79" spans="1:1" x14ac:dyDescent="0.2">
      <c r="A79" t="s">
        <v>1466</v>
      </c>
    </row>
    <row r="80" spans="1:1" x14ac:dyDescent="0.2">
      <c r="A80" t="s">
        <v>1467</v>
      </c>
    </row>
    <row r="81" spans="1:1" x14ac:dyDescent="0.2">
      <c r="A81" t="s">
        <v>1468</v>
      </c>
    </row>
    <row r="83" spans="1:1" x14ac:dyDescent="0.2">
      <c r="A83" t="s">
        <v>1469</v>
      </c>
    </row>
    <row r="84" spans="1:1" x14ac:dyDescent="0.2">
      <c r="A84" t="s">
        <v>1583</v>
      </c>
    </row>
    <row r="85" spans="1:1" x14ac:dyDescent="0.2">
      <c r="A85" t="s">
        <v>1470</v>
      </c>
    </row>
    <row r="86" spans="1:1" x14ac:dyDescent="0.2">
      <c r="A86" t="s">
        <v>1471</v>
      </c>
    </row>
    <row r="87" spans="1:1" x14ac:dyDescent="0.2">
      <c r="A87" t="s">
        <v>1472</v>
      </c>
    </row>
    <row r="88" spans="1:1" x14ac:dyDescent="0.2">
      <c r="A88" t="s">
        <v>1473</v>
      </c>
    </row>
    <row r="89" spans="1:1" x14ac:dyDescent="0.2">
      <c r="A89" t="s">
        <v>1474</v>
      </c>
    </row>
    <row r="90" spans="1:1" x14ac:dyDescent="0.2">
      <c r="A90" t="s">
        <v>1475</v>
      </c>
    </row>
    <row r="91" spans="1:1" x14ac:dyDescent="0.2">
      <c r="A91" t="s">
        <v>1476</v>
      </c>
    </row>
    <row r="92" spans="1:1" x14ac:dyDescent="0.2">
      <c r="A92" t="s">
        <v>1477</v>
      </c>
    </row>
    <row r="94" spans="1:1" x14ac:dyDescent="0.2">
      <c r="A94" t="s">
        <v>1478</v>
      </c>
    </row>
    <row r="95" spans="1:1" x14ac:dyDescent="0.2">
      <c r="A95" t="s">
        <v>1479</v>
      </c>
    </row>
    <row r="96" spans="1:1" x14ac:dyDescent="0.2">
      <c r="A96" t="s">
        <v>1480</v>
      </c>
    </row>
    <row r="97" spans="1:1" x14ac:dyDescent="0.2">
      <c r="A97" t="s">
        <v>1481</v>
      </c>
    </row>
    <row r="98" spans="1:1" x14ac:dyDescent="0.2">
      <c r="A98" t="s">
        <v>1482</v>
      </c>
    </row>
    <row r="99" spans="1:1" x14ac:dyDescent="0.2">
      <c r="A99" t="s">
        <v>1483</v>
      </c>
    </row>
    <row r="100" spans="1:1" x14ac:dyDescent="0.2">
      <c r="A100" t="s">
        <v>1484</v>
      </c>
    </row>
    <row r="101" spans="1:1" x14ac:dyDescent="0.2">
      <c r="A101" t="s">
        <v>1485</v>
      </c>
    </row>
    <row r="102" spans="1:1" x14ac:dyDescent="0.2">
      <c r="A102" t="s">
        <v>1486</v>
      </c>
    </row>
    <row r="103" spans="1:1" x14ac:dyDescent="0.2">
      <c r="A103" t="s">
        <v>1487</v>
      </c>
    </row>
    <row r="104" spans="1:1" x14ac:dyDescent="0.2">
      <c r="A104" t="s">
        <v>1488</v>
      </c>
    </row>
    <row r="105" spans="1:1" x14ac:dyDescent="0.2">
      <c r="A105" t="s">
        <v>1489</v>
      </c>
    </row>
    <row r="106" spans="1:1" x14ac:dyDescent="0.2">
      <c r="A106" t="s">
        <v>1490</v>
      </c>
    </row>
    <row r="107" spans="1:1" x14ac:dyDescent="0.2">
      <c r="A107" t="s">
        <v>1491</v>
      </c>
    </row>
    <row r="108" spans="1:1" x14ac:dyDescent="0.2">
      <c r="A108" t="s">
        <v>1492</v>
      </c>
    </row>
    <row r="109" spans="1:1" x14ac:dyDescent="0.2">
      <c r="A109" t="s">
        <v>1493</v>
      </c>
    </row>
    <row r="110" spans="1:1" x14ac:dyDescent="0.2">
      <c r="A110" t="s">
        <v>1494</v>
      </c>
    </row>
    <row r="112" spans="1:1" x14ac:dyDescent="0.2">
      <c r="A112" t="s">
        <v>1495</v>
      </c>
    </row>
    <row r="113" spans="1:1" x14ac:dyDescent="0.2">
      <c r="A113" t="s">
        <v>1496</v>
      </c>
    </row>
    <row r="115" spans="1:1" x14ac:dyDescent="0.2">
      <c r="A115" t="s">
        <v>1497</v>
      </c>
    </row>
    <row r="116" spans="1:1" x14ac:dyDescent="0.2">
      <c r="A116" t="s">
        <v>1498</v>
      </c>
    </row>
    <row r="117" spans="1:1" x14ac:dyDescent="0.2">
      <c r="A117" t="s">
        <v>1566</v>
      </c>
    </row>
    <row r="118" spans="1:1" x14ac:dyDescent="0.2">
      <c r="A118" t="s">
        <v>1562</v>
      </c>
    </row>
    <row r="119" spans="1:1" x14ac:dyDescent="0.2">
      <c r="A119" t="s">
        <v>1499</v>
      </c>
    </row>
    <row r="120" spans="1:1" x14ac:dyDescent="0.2">
      <c r="A120" t="s">
        <v>1500</v>
      </c>
    </row>
    <row r="121" spans="1:1" x14ac:dyDescent="0.2">
      <c r="A121" t="s">
        <v>1501</v>
      </c>
    </row>
    <row r="122" spans="1:1" x14ac:dyDescent="0.2">
      <c r="A122" t="s">
        <v>1502</v>
      </c>
    </row>
    <row r="123" spans="1:1" x14ac:dyDescent="0.2">
      <c r="A123" t="s">
        <v>1503</v>
      </c>
    </row>
    <row r="124" spans="1:1" x14ac:dyDescent="0.2">
      <c r="A124" t="s">
        <v>1563</v>
      </c>
    </row>
    <row r="125" spans="1:1" x14ac:dyDescent="0.2">
      <c r="A125" t="s">
        <v>1504</v>
      </c>
    </row>
    <row r="126" spans="1:1" x14ac:dyDescent="0.2">
      <c r="A126" t="s">
        <v>1564</v>
      </c>
    </row>
    <row r="127" spans="1:1" x14ac:dyDescent="0.2">
      <c r="A127" t="s">
        <v>1568</v>
      </c>
    </row>
    <row r="128" spans="1:1" x14ac:dyDescent="0.2">
      <c r="A128" t="s">
        <v>1505</v>
      </c>
    </row>
    <row r="130" spans="1:1" x14ac:dyDescent="0.2">
      <c r="A130" t="s">
        <v>1506</v>
      </c>
    </row>
    <row r="131" spans="1:1" x14ac:dyDescent="0.2">
      <c r="A131" t="s">
        <v>1507</v>
      </c>
    </row>
    <row r="132" spans="1:1" x14ac:dyDescent="0.2">
      <c r="A132" t="s">
        <v>1508</v>
      </c>
    </row>
    <row r="133" spans="1:1" x14ac:dyDescent="0.2">
      <c r="A133" t="s">
        <v>1509</v>
      </c>
    </row>
    <row r="134" spans="1:1" x14ac:dyDescent="0.2">
      <c r="A134" t="s">
        <v>1510</v>
      </c>
    </row>
    <row r="136" spans="1:1" x14ac:dyDescent="0.2">
      <c r="A136" t="s">
        <v>1580</v>
      </c>
    </row>
    <row r="137" spans="1:1" x14ac:dyDescent="0.2">
      <c r="A137" t="s">
        <v>1511</v>
      </c>
    </row>
    <row r="138" spans="1:1" x14ac:dyDescent="0.2">
      <c r="A138" t="s">
        <v>1512</v>
      </c>
    </row>
    <row r="139" spans="1:1" x14ac:dyDescent="0.2">
      <c r="A139" t="s">
        <v>1513</v>
      </c>
    </row>
    <row r="140" spans="1:1" x14ac:dyDescent="0.2">
      <c r="A140" t="s">
        <v>1514</v>
      </c>
    </row>
    <row r="141" spans="1:1" x14ac:dyDescent="0.2">
      <c r="A141" t="s">
        <v>1515</v>
      </c>
    </row>
    <row r="142" spans="1:1" x14ac:dyDescent="0.2">
      <c r="A142" t="s">
        <v>1516</v>
      </c>
    </row>
    <row r="143" spans="1:1" x14ac:dyDescent="0.2">
      <c r="A143" t="s">
        <v>1517</v>
      </c>
    </row>
    <row r="144" spans="1:1" x14ac:dyDescent="0.2">
      <c r="A144" t="s">
        <v>1518</v>
      </c>
    </row>
    <row r="145" spans="1:1" x14ac:dyDescent="0.2">
      <c r="A145" t="s">
        <v>1519</v>
      </c>
    </row>
    <row r="146" spans="1:1" x14ac:dyDescent="0.2">
      <c r="A146" t="s">
        <v>1520</v>
      </c>
    </row>
    <row r="147" spans="1:1" x14ac:dyDescent="0.2">
      <c r="A147" t="s">
        <v>1521</v>
      </c>
    </row>
    <row r="148" spans="1:1" x14ac:dyDescent="0.2">
      <c r="A148" t="s">
        <v>1522</v>
      </c>
    </row>
    <row r="149" spans="1:1" x14ac:dyDescent="0.2">
      <c r="A149" t="s">
        <v>1523</v>
      </c>
    </row>
    <row r="150" spans="1:1" x14ac:dyDescent="0.2">
      <c r="A150" t="s">
        <v>1567</v>
      </c>
    </row>
    <row r="151" spans="1:1" x14ac:dyDescent="0.2">
      <c r="A151" t="s">
        <v>1565</v>
      </c>
    </row>
    <row r="152" spans="1:1" x14ac:dyDescent="0.2">
      <c r="A152" t="s">
        <v>1524</v>
      </c>
    </row>
    <row r="153" spans="1:1" x14ac:dyDescent="0.2">
      <c r="A153" t="s">
        <v>1525</v>
      </c>
    </row>
    <row r="154" spans="1:1" x14ac:dyDescent="0.2">
      <c r="A154" t="s">
        <v>1526</v>
      </c>
    </row>
    <row r="155" spans="1:1" x14ac:dyDescent="0.2">
      <c r="A155" t="s">
        <v>1527</v>
      </c>
    </row>
    <row r="157" spans="1:1" x14ac:dyDescent="0.2">
      <c r="A157" t="s">
        <v>1528</v>
      </c>
    </row>
    <row r="158" spans="1:1" x14ac:dyDescent="0.2">
      <c r="A158" t="s">
        <v>1561</v>
      </c>
    </row>
    <row r="159" spans="1:1" x14ac:dyDescent="0.2">
      <c r="A159" t="s">
        <v>1529</v>
      </c>
    </row>
    <row r="160" spans="1:1" x14ac:dyDescent="0.2">
      <c r="A160" t="s">
        <v>1530</v>
      </c>
    </row>
    <row r="162" spans="1:1" x14ac:dyDescent="0.2">
      <c r="A162" t="s">
        <v>1531</v>
      </c>
    </row>
    <row r="163" spans="1:1" x14ac:dyDescent="0.2">
      <c r="A163" t="s">
        <v>1532</v>
      </c>
    </row>
    <row r="164" spans="1:1" x14ac:dyDescent="0.2">
      <c r="A164" t="s">
        <v>1533</v>
      </c>
    </row>
    <row r="165" spans="1:1" x14ac:dyDescent="0.2">
      <c r="A165" t="s">
        <v>1534</v>
      </c>
    </row>
    <row r="167" spans="1:1" x14ac:dyDescent="0.2">
      <c r="A167" t="s">
        <v>1535</v>
      </c>
    </row>
    <row r="168" spans="1:1" x14ac:dyDescent="0.2">
      <c r="A168" t="s">
        <v>1536</v>
      </c>
    </row>
    <row r="169" spans="1:1" x14ac:dyDescent="0.2">
      <c r="A169" t="s">
        <v>1537</v>
      </c>
    </row>
    <row r="170" spans="1:1" x14ac:dyDescent="0.2">
      <c r="A170" t="s">
        <v>1538</v>
      </c>
    </row>
    <row r="171" spans="1:1" x14ac:dyDescent="0.2">
      <c r="A171" t="s">
        <v>1539</v>
      </c>
    </row>
    <row r="172" spans="1:1" x14ac:dyDescent="0.2">
      <c r="A172" t="s">
        <v>1540</v>
      </c>
    </row>
    <row r="173" spans="1:1" x14ac:dyDescent="0.2">
      <c r="A173" t="s">
        <v>1541</v>
      </c>
    </row>
    <row r="175" spans="1:1" x14ac:dyDescent="0.2">
      <c r="A175" t="s">
        <v>1542</v>
      </c>
    </row>
    <row r="176" spans="1:1" x14ac:dyDescent="0.2">
      <c r="A176" t="s">
        <v>1543</v>
      </c>
    </row>
    <row r="177" spans="1:1" x14ac:dyDescent="0.2">
      <c r="A177" t="s">
        <v>1544</v>
      </c>
    </row>
    <row r="178" spans="1:1" x14ac:dyDescent="0.2">
      <c r="A178" t="s">
        <v>1560</v>
      </c>
    </row>
    <row r="180" spans="1:1" x14ac:dyDescent="0.2">
      <c r="A180" t="s">
        <v>1545</v>
      </c>
    </row>
    <row r="181" spans="1:1" x14ac:dyDescent="0.2">
      <c r="A181" t="s">
        <v>1546</v>
      </c>
    </row>
    <row r="182" spans="1:1" x14ac:dyDescent="0.2">
      <c r="A182" t="s">
        <v>1547</v>
      </c>
    </row>
    <row r="183" spans="1:1" x14ac:dyDescent="0.2">
      <c r="A183" t="s">
        <v>1548</v>
      </c>
    </row>
    <row r="185" spans="1:1" x14ac:dyDescent="0.2">
      <c r="A185" t="s">
        <v>1549</v>
      </c>
    </row>
    <row r="186" spans="1:1" x14ac:dyDescent="0.2">
      <c r="A186" t="s">
        <v>1550</v>
      </c>
    </row>
    <row r="187" spans="1:1" x14ac:dyDescent="0.2">
      <c r="A187" t="s">
        <v>1551</v>
      </c>
    </row>
    <row r="188" spans="1:1" x14ac:dyDescent="0.2">
      <c r="A188" t="s">
        <v>1552</v>
      </c>
    </row>
    <row r="190" spans="1:1" x14ac:dyDescent="0.2">
      <c r="A190" t="s">
        <v>1553</v>
      </c>
    </row>
    <row r="191" spans="1:1" x14ac:dyDescent="0.2">
      <c r="A191" t="s">
        <v>1554</v>
      </c>
    </row>
    <row r="192" spans="1:1" x14ac:dyDescent="0.2">
      <c r="A192" t="s">
        <v>1555</v>
      </c>
    </row>
    <row r="193" spans="1:1" x14ac:dyDescent="0.2">
      <c r="A193" t="s">
        <v>1556</v>
      </c>
    </row>
    <row r="194" spans="1:1" x14ac:dyDescent="0.2">
      <c r="A194" t="s">
        <v>1557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Nutrient Fill</vt:lpstr>
      <vt:lpstr>Recipes</vt:lpstr>
      <vt:lpstr>Final Values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Annam, Farid</cp:lastModifiedBy>
  <dcterms:created xsi:type="dcterms:W3CDTF">2026-09-10T17:34:05Z</dcterms:created>
  <dcterms:modified xsi:type="dcterms:W3CDTF">2026-09-29T20:27:58Z</dcterms:modified>
</cp:coreProperties>
</file>